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6" yWindow="348" windowWidth="15588" windowHeight="4980" activeTab="3"/>
  </bookViews>
  <sheets>
    <sheet name="A)Poisson" sheetId="1" r:id="rId1"/>
    <sheet name="B)Poisson (chang ds CY =5)" sheetId="5" r:id="rId2"/>
    <sheet name="C)Gamma" sheetId="4" r:id="rId3"/>
    <sheet name="D) (A) Plus manuel" sheetId="6" r:id="rId4"/>
  </sheets>
  <definedNames>
    <definedName name="solver_adj" localSheetId="0" hidden="1">'A)Poisson'!$I$22,'A)Poisson'!$I$26:$I$29,'A)Poisson'!$J$26:$J$29</definedName>
    <definedName name="solver_adj" localSheetId="1" hidden="1">'B)Poisson (chang ds CY =5)'!$I$22,'B)Poisson (chang ds CY =5)'!$L$22,'B)Poisson (chang ds CY =5)'!$I$26:$J$29</definedName>
    <definedName name="solver_adj" localSheetId="2" hidden="1">'C)Gamma'!$I$22,'C)Gamma'!$L$22,'C)Gamma'!$I$26:$J$29</definedName>
    <definedName name="solver_adj" localSheetId="3" hidden="1">'D) (A) Plus manuel'!#REF!,'D) (A) Plus manuel'!#REF!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0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0" hidden="1">'A)Poisson'!$J$31</definedName>
    <definedName name="solver_opt" localSheetId="1" hidden="1">'B)Poisson (chang ds CY =5)'!$J$31</definedName>
    <definedName name="solver_opt" localSheetId="2" hidden="1">'C)Gamma'!$J$31</definedName>
    <definedName name="solver_opt" localSheetId="3" hidden="1">'D) (A) Plus manuel'!#REF!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0" hidden="1">1</definedName>
    <definedName name="solver_typ" localSheetId="1" hidden="1">1</definedName>
    <definedName name="solver_typ" localSheetId="2" hidden="1">1</definedName>
    <definedName name="solver_typ" localSheetId="3" hidden="1">1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45621"/>
</workbook>
</file>

<file path=xl/calcChain.xml><?xml version="1.0" encoding="utf-8"?>
<calcChain xmlns="http://schemas.openxmlformats.org/spreadsheetml/2006/main">
  <c r="D65" i="6" l="1"/>
  <c r="C25" i="5" l="1"/>
  <c r="C23" i="5"/>
  <c r="I46" i="1"/>
  <c r="I44" i="1"/>
  <c r="I43" i="1"/>
  <c r="I42" i="1"/>
  <c r="I41" i="1"/>
  <c r="I40" i="1"/>
  <c r="D43" i="1"/>
  <c r="C22" i="1"/>
  <c r="C13" i="1"/>
  <c r="I57" i="6" l="1"/>
  <c r="D54" i="6"/>
  <c r="D55" i="6"/>
  <c r="C54" i="6"/>
  <c r="K63" i="6"/>
  <c r="J63" i="6"/>
  <c r="I63" i="6"/>
  <c r="H63" i="6"/>
  <c r="G63" i="6"/>
  <c r="F63" i="6"/>
  <c r="E63" i="6"/>
  <c r="D63" i="6"/>
  <c r="C63" i="6"/>
  <c r="K62" i="6"/>
  <c r="J62" i="6"/>
  <c r="I62" i="6"/>
  <c r="H62" i="6"/>
  <c r="G62" i="6"/>
  <c r="F62" i="6"/>
  <c r="E62" i="6"/>
  <c r="D62" i="6"/>
  <c r="C62" i="6"/>
  <c r="K61" i="6"/>
  <c r="J61" i="6"/>
  <c r="I61" i="6"/>
  <c r="H61" i="6"/>
  <c r="G61" i="6"/>
  <c r="F61" i="6"/>
  <c r="E61" i="6"/>
  <c r="D61" i="6"/>
  <c r="C61" i="6"/>
  <c r="K60" i="6"/>
  <c r="J60" i="6"/>
  <c r="I60" i="6"/>
  <c r="H60" i="6"/>
  <c r="G60" i="6"/>
  <c r="F60" i="6"/>
  <c r="E60" i="6"/>
  <c r="D60" i="6"/>
  <c r="C60" i="6"/>
  <c r="K59" i="6"/>
  <c r="J59" i="6"/>
  <c r="I59" i="6"/>
  <c r="H59" i="6"/>
  <c r="G59" i="6"/>
  <c r="F59" i="6"/>
  <c r="E59" i="6"/>
  <c r="D59" i="6"/>
  <c r="C59" i="6"/>
  <c r="K58" i="6"/>
  <c r="J58" i="6"/>
  <c r="I58" i="6"/>
  <c r="H58" i="6"/>
  <c r="G58" i="6"/>
  <c r="F58" i="6"/>
  <c r="E58" i="6"/>
  <c r="D58" i="6"/>
  <c r="C58" i="6"/>
  <c r="K57" i="6"/>
  <c r="J57" i="6"/>
  <c r="H57" i="6"/>
  <c r="G57" i="6"/>
  <c r="F57" i="6"/>
  <c r="E57" i="6"/>
  <c r="D57" i="6"/>
  <c r="C57" i="6"/>
  <c r="K56" i="6"/>
  <c r="J56" i="6"/>
  <c r="I56" i="6"/>
  <c r="H56" i="6"/>
  <c r="G56" i="6"/>
  <c r="F56" i="6"/>
  <c r="E56" i="6"/>
  <c r="D56" i="6"/>
  <c r="C56" i="6"/>
  <c r="K55" i="6"/>
  <c r="J55" i="6"/>
  <c r="I55" i="6"/>
  <c r="H55" i="6"/>
  <c r="G55" i="6"/>
  <c r="F55" i="6"/>
  <c r="E55" i="6"/>
  <c r="C55" i="6"/>
  <c r="K54" i="6"/>
  <c r="J54" i="6"/>
  <c r="I54" i="6"/>
  <c r="H54" i="6"/>
  <c r="G54" i="6"/>
  <c r="F54" i="6"/>
  <c r="E54" i="6"/>
  <c r="L55" i="6" l="1"/>
  <c r="M55" i="6" s="1"/>
  <c r="L54" i="6"/>
  <c r="M54" i="6" s="1"/>
  <c r="L61" i="6"/>
  <c r="M61" i="6" s="1"/>
  <c r="L56" i="6"/>
  <c r="M56" i="6" s="1"/>
  <c r="L58" i="6"/>
  <c r="M58" i="6" s="1"/>
  <c r="L62" i="6"/>
  <c r="M62" i="6" s="1"/>
  <c r="L59" i="6"/>
  <c r="M59" i="6" s="1"/>
  <c r="L63" i="6"/>
  <c r="M63" i="6" s="1"/>
  <c r="L60" i="6"/>
  <c r="M60" i="6" s="1"/>
  <c r="L57" i="6"/>
  <c r="M57" i="6" s="1"/>
  <c r="C65" i="6" l="1"/>
  <c r="B72" i="6" a="1"/>
  <c r="B75" i="6" l="1"/>
  <c r="B77" i="6"/>
  <c r="B72" i="6"/>
  <c r="B73" i="6"/>
  <c r="B79" i="6"/>
  <c r="B78" i="6"/>
  <c r="B80" i="6"/>
  <c r="B74" i="6"/>
  <c r="B76" i="6"/>
  <c r="H23" i="6" l="1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22" i="6"/>
  <c r="F23" i="6"/>
  <c r="G23" i="6"/>
  <c r="I23" i="6"/>
  <c r="J23" i="6"/>
  <c r="K23" i="6"/>
  <c r="L23" i="6"/>
  <c r="F24" i="6"/>
  <c r="G24" i="6"/>
  <c r="I24" i="6"/>
  <c r="J24" i="6"/>
  <c r="K24" i="6"/>
  <c r="L24" i="6"/>
  <c r="F25" i="6"/>
  <c r="G25" i="6"/>
  <c r="I25" i="6"/>
  <c r="J25" i="6"/>
  <c r="K25" i="6"/>
  <c r="L25" i="6"/>
  <c r="F26" i="6"/>
  <c r="G26" i="6"/>
  <c r="I26" i="6"/>
  <c r="J26" i="6"/>
  <c r="K26" i="6"/>
  <c r="L26" i="6"/>
  <c r="F27" i="6"/>
  <c r="G27" i="6"/>
  <c r="I27" i="6"/>
  <c r="J27" i="6"/>
  <c r="K27" i="6"/>
  <c r="L27" i="6"/>
  <c r="F28" i="6"/>
  <c r="G28" i="6"/>
  <c r="I28" i="6"/>
  <c r="J28" i="6"/>
  <c r="K28" i="6"/>
  <c r="L28" i="6"/>
  <c r="F29" i="6"/>
  <c r="G29" i="6"/>
  <c r="I29" i="6"/>
  <c r="J29" i="6"/>
  <c r="K29" i="6"/>
  <c r="L29" i="6"/>
  <c r="F30" i="6"/>
  <c r="G30" i="6"/>
  <c r="I30" i="6"/>
  <c r="J30" i="6"/>
  <c r="K30" i="6"/>
  <c r="L30" i="6"/>
  <c r="F31" i="6"/>
  <c r="G31" i="6"/>
  <c r="I31" i="6"/>
  <c r="J31" i="6"/>
  <c r="K31" i="6"/>
  <c r="L31" i="6"/>
  <c r="F32" i="6"/>
  <c r="G32" i="6"/>
  <c r="I32" i="6"/>
  <c r="J32" i="6"/>
  <c r="K32" i="6"/>
  <c r="L32" i="6"/>
  <c r="F33" i="6"/>
  <c r="G33" i="6"/>
  <c r="I33" i="6"/>
  <c r="J33" i="6"/>
  <c r="K33" i="6"/>
  <c r="L33" i="6"/>
  <c r="F34" i="6"/>
  <c r="G34" i="6"/>
  <c r="I34" i="6"/>
  <c r="J34" i="6"/>
  <c r="K34" i="6"/>
  <c r="L34" i="6"/>
  <c r="F35" i="6"/>
  <c r="G35" i="6"/>
  <c r="I35" i="6"/>
  <c r="J35" i="6"/>
  <c r="K35" i="6"/>
  <c r="L35" i="6"/>
  <c r="F36" i="6"/>
  <c r="G36" i="6"/>
  <c r="I36" i="6"/>
  <c r="J36" i="6"/>
  <c r="K36" i="6"/>
  <c r="L36" i="6"/>
  <c r="L22" i="6"/>
  <c r="K22" i="6"/>
  <c r="J22" i="6"/>
  <c r="I22" i="6"/>
  <c r="G22" i="6"/>
  <c r="F22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22" i="6"/>
  <c r="B17" i="6"/>
  <c r="C36" i="6" s="1"/>
  <c r="C16" i="6"/>
  <c r="C35" i="6" s="1"/>
  <c r="B16" i="6"/>
  <c r="C34" i="6" s="1"/>
  <c r="D15" i="6"/>
  <c r="C33" i="6" s="1"/>
  <c r="C15" i="6"/>
  <c r="C32" i="6" s="1"/>
  <c r="B15" i="6"/>
  <c r="C31" i="6" s="1"/>
  <c r="E14" i="6"/>
  <c r="C30" i="6" s="1"/>
  <c r="D14" i="6"/>
  <c r="C29" i="6" s="1"/>
  <c r="C14" i="6"/>
  <c r="C28" i="6" s="1"/>
  <c r="B14" i="6"/>
  <c r="C27" i="6" s="1"/>
  <c r="F13" i="6"/>
  <c r="C26" i="6" s="1"/>
  <c r="E13" i="6"/>
  <c r="C25" i="6" s="1"/>
  <c r="D13" i="6"/>
  <c r="C24" i="6" s="1"/>
  <c r="C13" i="6"/>
  <c r="C23" i="6" s="1"/>
  <c r="B13" i="6"/>
  <c r="C22" i="6" s="1"/>
  <c r="M22" i="6" l="1"/>
  <c r="N22" i="6" s="1"/>
  <c r="M33" i="6"/>
  <c r="N33" i="6" s="1"/>
  <c r="O33" i="6" s="1"/>
  <c r="M29" i="6"/>
  <c r="N29" i="6" s="1"/>
  <c r="AI29" i="6" s="1"/>
  <c r="M25" i="6"/>
  <c r="N25" i="6" s="1"/>
  <c r="O25" i="6" s="1"/>
  <c r="M36" i="6"/>
  <c r="N36" i="6" s="1"/>
  <c r="AP36" i="6" s="1"/>
  <c r="M34" i="6"/>
  <c r="N34" i="6" s="1"/>
  <c r="AN34" i="6" s="1"/>
  <c r="M32" i="6"/>
  <c r="N32" i="6" s="1"/>
  <c r="AL32" i="6" s="1"/>
  <c r="M30" i="6"/>
  <c r="N30" i="6" s="1"/>
  <c r="AJ30" i="6" s="1"/>
  <c r="M28" i="6"/>
  <c r="N28" i="6" s="1"/>
  <c r="AH28" i="6" s="1"/>
  <c r="M26" i="6"/>
  <c r="N26" i="6" s="1"/>
  <c r="AF26" i="6" s="1"/>
  <c r="M24" i="6"/>
  <c r="N24" i="6" s="1"/>
  <c r="AD24" i="6" s="1"/>
  <c r="M35" i="6"/>
  <c r="N35" i="6" s="1"/>
  <c r="AO35" i="6" s="1"/>
  <c r="M31" i="6"/>
  <c r="N31" i="6" s="1"/>
  <c r="AK31" i="6" s="1"/>
  <c r="M27" i="6"/>
  <c r="N27" i="6" s="1"/>
  <c r="O27" i="6" s="1"/>
  <c r="M23" i="6"/>
  <c r="N23" i="6" s="1"/>
  <c r="AC23" i="6" s="1"/>
  <c r="AB22" i="6"/>
  <c r="O22" i="6"/>
  <c r="AM33" i="6"/>
  <c r="AG27" i="6"/>
  <c r="B26" i="5"/>
  <c r="B35" i="5" s="1"/>
  <c r="B25" i="5"/>
  <c r="C34" i="5"/>
  <c r="B24" i="5"/>
  <c r="B33" i="5" s="1"/>
  <c r="C24" i="5"/>
  <c r="C33" i="5" s="1"/>
  <c r="D24" i="5"/>
  <c r="B23" i="5"/>
  <c r="B32" i="5" s="1"/>
  <c r="C32" i="5"/>
  <c r="D23" i="5"/>
  <c r="E23" i="5"/>
  <c r="C22" i="5"/>
  <c r="D22" i="5"/>
  <c r="D31" i="5" s="1"/>
  <c r="E22" i="5"/>
  <c r="E31" i="5" s="1"/>
  <c r="F22" i="5"/>
  <c r="B22" i="5"/>
  <c r="I17" i="5"/>
  <c r="I16" i="5"/>
  <c r="J16" i="5"/>
  <c r="I15" i="5"/>
  <c r="J15" i="5"/>
  <c r="K15" i="5"/>
  <c r="I14" i="5"/>
  <c r="J14" i="5"/>
  <c r="K14" i="5"/>
  <c r="L14" i="5"/>
  <c r="J13" i="5"/>
  <c r="K13" i="5"/>
  <c r="L13" i="5"/>
  <c r="M13" i="5"/>
  <c r="I13" i="5"/>
  <c r="F44" i="5"/>
  <c r="E44" i="5"/>
  <c r="D44" i="5"/>
  <c r="C44" i="5"/>
  <c r="F43" i="5"/>
  <c r="E43" i="5"/>
  <c r="D43" i="5"/>
  <c r="F42" i="5"/>
  <c r="E42" i="5"/>
  <c r="I42" i="5" s="1"/>
  <c r="F41" i="5"/>
  <c r="I41" i="5" s="1"/>
  <c r="I40" i="5"/>
  <c r="B17" i="5"/>
  <c r="C16" i="5"/>
  <c r="B16" i="5"/>
  <c r="D15" i="5"/>
  <c r="C15" i="5"/>
  <c r="B15" i="5"/>
  <c r="E14" i="5"/>
  <c r="D14" i="5"/>
  <c r="C14" i="5"/>
  <c r="B14" i="5"/>
  <c r="F13" i="5"/>
  <c r="E13" i="5"/>
  <c r="D13" i="5"/>
  <c r="C13" i="5"/>
  <c r="B13" i="5"/>
  <c r="F44" i="4"/>
  <c r="E44" i="4"/>
  <c r="D44" i="4"/>
  <c r="C44" i="4"/>
  <c r="F43" i="4"/>
  <c r="E43" i="4"/>
  <c r="D43" i="4"/>
  <c r="F42" i="4"/>
  <c r="E42" i="4"/>
  <c r="F41" i="4"/>
  <c r="I41" i="4" s="1"/>
  <c r="I40" i="4"/>
  <c r="B26" i="4"/>
  <c r="B35" i="4" s="1"/>
  <c r="C25" i="4"/>
  <c r="C34" i="4" s="1"/>
  <c r="B25" i="4"/>
  <c r="B34" i="4" s="1"/>
  <c r="D24" i="4"/>
  <c r="D33" i="4" s="1"/>
  <c r="C24" i="4"/>
  <c r="C33" i="4" s="1"/>
  <c r="B24" i="4"/>
  <c r="B33" i="4" s="1"/>
  <c r="E23" i="4"/>
  <c r="E32" i="4" s="1"/>
  <c r="D23" i="4"/>
  <c r="D32" i="4" s="1"/>
  <c r="C23" i="4"/>
  <c r="C32" i="4" s="1"/>
  <c r="B23" i="4"/>
  <c r="B32" i="4" s="1"/>
  <c r="F22" i="4"/>
  <c r="F31" i="4" s="1"/>
  <c r="E22" i="4"/>
  <c r="E31" i="4" s="1"/>
  <c r="D22" i="4"/>
  <c r="D31" i="4" s="1"/>
  <c r="C22" i="4"/>
  <c r="C31" i="4" s="1"/>
  <c r="B22" i="4"/>
  <c r="B31" i="4" s="1"/>
  <c r="B17" i="4"/>
  <c r="C16" i="4"/>
  <c r="B16" i="4"/>
  <c r="D15" i="4"/>
  <c r="C15" i="4"/>
  <c r="B15" i="4"/>
  <c r="E14" i="4"/>
  <c r="D14" i="4"/>
  <c r="C14" i="4"/>
  <c r="B14" i="4"/>
  <c r="F13" i="4"/>
  <c r="E13" i="4"/>
  <c r="D13" i="4"/>
  <c r="C13" i="4"/>
  <c r="B13" i="4"/>
  <c r="F41" i="1"/>
  <c r="E42" i="1"/>
  <c r="F42" i="1"/>
  <c r="E43" i="1"/>
  <c r="F43" i="1"/>
  <c r="C44" i="1"/>
  <c r="D44" i="1"/>
  <c r="E44" i="1"/>
  <c r="F44" i="1"/>
  <c r="B22" i="1"/>
  <c r="B31" i="1" s="1"/>
  <c r="D22" i="1"/>
  <c r="D31" i="1" s="1"/>
  <c r="F22" i="1"/>
  <c r="F31" i="1" s="1"/>
  <c r="E22" i="1"/>
  <c r="E23" i="1"/>
  <c r="D23" i="1"/>
  <c r="D32" i="1" s="1"/>
  <c r="D24" i="1"/>
  <c r="D33" i="1" s="1"/>
  <c r="C23" i="1"/>
  <c r="C24" i="1"/>
  <c r="C25" i="1"/>
  <c r="C34" i="1" s="1"/>
  <c r="B23" i="1"/>
  <c r="B24" i="1"/>
  <c r="B25" i="1"/>
  <c r="B34" i="1" s="1"/>
  <c r="B26" i="1"/>
  <c r="F13" i="1"/>
  <c r="E14" i="1"/>
  <c r="E13" i="1"/>
  <c r="D14" i="1"/>
  <c r="D15" i="1"/>
  <c r="D13" i="1"/>
  <c r="C14" i="1"/>
  <c r="C15" i="1"/>
  <c r="C16" i="1"/>
  <c r="B14" i="1"/>
  <c r="B15" i="1"/>
  <c r="B16" i="1"/>
  <c r="B17" i="1"/>
  <c r="B13" i="1"/>
  <c r="O31" i="6" l="1"/>
  <c r="AE25" i="6"/>
  <c r="O36" i="6"/>
  <c r="O26" i="6"/>
  <c r="O28" i="6"/>
  <c r="O32" i="6"/>
  <c r="O30" i="6"/>
  <c r="O35" i="6"/>
  <c r="O24" i="6"/>
  <c r="O23" i="6"/>
  <c r="O29" i="6"/>
  <c r="O34" i="6"/>
  <c r="H41" i="6" a="1"/>
  <c r="P47" i="6" s="1"/>
  <c r="E32" i="5"/>
  <c r="I44" i="5"/>
  <c r="I43" i="5"/>
  <c r="B34" i="5"/>
  <c r="D33" i="5"/>
  <c r="D32" i="5"/>
  <c r="F31" i="5"/>
  <c r="C31" i="5"/>
  <c r="B31" i="5"/>
  <c r="I43" i="4"/>
  <c r="I42" i="4"/>
  <c r="I44" i="4"/>
  <c r="J31" i="4"/>
  <c r="B33" i="1"/>
  <c r="C33" i="1"/>
  <c r="E32" i="1"/>
  <c r="B32" i="1"/>
  <c r="C32" i="1"/>
  <c r="E31" i="1"/>
  <c r="B35" i="1"/>
  <c r="C31" i="1"/>
  <c r="J31" i="1" l="1"/>
  <c r="E41" i="6" a="1"/>
  <c r="E44" i="6" s="1"/>
  <c r="J43" i="6"/>
  <c r="J48" i="6"/>
  <c r="O45" i="6"/>
  <c r="H49" i="6"/>
  <c r="L44" i="6"/>
  <c r="K42" i="6"/>
  <c r="L49" i="6"/>
  <c r="K47" i="6"/>
  <c r="N45" i="6"/>
  <c r="I47" i="6"/>
  <c r="P42" i="6"/>
  <c r="M46" i="6"/>
  <c r="J47" i="6"/>
  <c r="N41" i="6"/>
  <c r="O48" i="6"/>
  <c r="L48" i="6"/>
  <c r="K46" i="6"/>
  <c r="J44" i="6"/>
  <c r="M42" i="6"/>
  <c r="N49" i="6"/>
  <c r="O41" i="6"/>
  <c r="O46" i="6"/>
  <c r="H43" i="6"/>
  <c r="K49" i="6"/>
  <c r="K43" i="6"/>
  <c r="J46" i="6"/>
  <c r="I44" i="6"/>
  <c r="H42" i="6"/>
  <c r="I49" i="6"/>
  <c r="L47" i="6"/>
  <c r="L41" i="6"/>
  <c r="L46" i="6"/>
  <c r="H44" i="6"/>
  <c r="M41" i="6"/>
  <c r="L43" i="6"/>
  <c r="I43" i="6"/>
  <c r="H41" i="6"/>
  <c r="I48" i="6"/>
  <c r="H46" i="6"/>
  <c r="K44" i="6"/>
  <c r="K41" i="6"/>
  <c r="K45" i="6"/>
  <c r="I41" i="6"/>
  <c r="K48" i="6"/>
  <c r="P41" i="6"/>
  <c r="P46" i="6"/>
  <c r="H48" i="6"/>
  <c r="P45" i="6"/>
  <c r="O43" i="6"/>
  <c r="I42" i="6"/>
  <c r="J49" i="6"/>
  <c r="H45" i="6"/>
  <c r="J41" i="6"/>
  <c r="M47" i="6"/>
  <c r="I45" i="6"/>
  <c r="J45" i="6"/>
  <c r="P44" i="6"/>
  <c r="O42" i="6"/>
  <c r="P49" i="6"/>
  <c r="O47" i="6"/>
  <c r="I46" i="6"/>
  <c r="P48" i="6"/>
  <c r="N44" i="6"/>
  <c r="J42" i="6"/>
  <c r="L45" i="6"/>
  <c r="N42" i="6"/>
  <c r="O49" i="6"/>
  <c r="N47" i="6"/>
  <c r="M45" i="6"/>
  <c r="P43" i="6"/>
  <c r="M43" i="6"/>
  <c r="M48" i="6"/>
  <c r="O44" i="6"/>
  <c r="N43" i="6"/>
  <c r="N48" i="6"/>
  <c r="H47" i="6"/>
  <c r="N46" i="6"/>
  <c r="M44" i="6"/>
  <c r="L42" i="6"/>
  <c r="M49" i="6"/>
  <c r="I46" i="5"/>
  <c r="J31" i="5"/>
  <c r="I46" i="4"/>
  <c r="H72" i="6" l="1" a="1"/>
  <c r="E49" i="6"/>
  <c r="E46" i="6"/>
  <c r="E41" i="6"/>
  <c r="E48" i="6"/>
  <c r="E42" i="6"/>
  <c r="E45" i="6"/>
  <c r="E43" i="6"/>
  <c r="E47" i="6"/>
  <c r="S41" i="6" l="1" a="1"/>
  <c r="S47" i="6" s="1"/>
  <c r="K72" i="6"/>
  <c r="N80" i="6"/>
  <c r="P78" i="6"/>
  <c r="I77" i="6"/>
  <c r="K75" i="6"/>
  <c r="M73" i="6"/>
  <c r="M80" i="6"/>
  <c r="O78" i="6"/>
  <c r="H77" i="6"/>
  <c r="J75" i="6"/>
  <c r="L73" i="6"/>
  <c r="P80" i="6"/>
  <c r="I79" i="6"/>
  <c r="K77" i="6"/>
  <c r="M75" i="6"/>
  <c r="O73" i="6"/>
  <c r="H72" i="6"/>
  <c r="L79" i="6"/>
  <c r="N77" i="6"/>
  <c r="P75" i="6"/>
  <c r="I74" i="6"/>
  <c r="I76" i="6"/>
  <c r="H80" i="6"/>
  <c r="L76" i="6"/>
  <c r="P72" i="6"/>
  <c r="M78" i="6"/>
  <c r="H75" i="6"/>
  <c r="J73" i="6"/>
  <c r="K79" i="6"/>
  <c r="O75" i="6"/>
  <c r="H74" i="6"/>
  <c r="J72" i="6"/>
  <c r="L77" i="6"/>
  <c r="N75" i="6"/>
  <c r="I72" i="6"/>
  <c r="O77" i="6"/>
  <c r="J74" i="6"/>
  <c r="I78" i="6"/>
  <c r="O72" i="6"/>
  <c r="J80" i="6"/>
  <c r="L78" i="6"/>
  <c r="N76" i="6"/>
  <c r="P74" i="6"/>
  <c r="I73" i="6"/>
  <c r="I80" i="6"/>
  <c r="K78" i="6"/>
  <c r="M76" i="6"/>
  <c r="O74" i="6"/>
  <c r="H73" i="6"/>
  <c r="L80" i="6"/>
  <c r="N78" i="6"/>
  <c r="P76" i="6"/>
  <c r="I75" i="6"/>
  <c r="K73" i="6"/>
  <c r="O80" i="6"/>
  <c r="H79" i="6"/>
  <c r="J77" i="6"/>
  <c r="L75" i="6"/>
  <c r="N73" i="6"/>
  <c r="O79" i="6"/>
  <c r="H78" i="6"/>
  <c r="J76" i="6"/>
  <c r="L74" i="6"/>
  <c r="N72" i="6"/>
  <c r="N79" i="6"/>
  <c r="P77" i="6"/>
  <c r="K74" i="6"/>
  <c r="M72" i="6"/>
  <c r="J78" i="6"/>
  <c r="N74" i="6"/>
  <c r="K80" i="6"/>
  <c r="O76" i="6"/>
  <c r="M77" i="6"/>
  <c r="J79" i="6"/>
  <c r="P73" i="6"/>
  <c r="M79" i="6"/>
  <c r="H76" i="6"/>
  <c r="L72" i="6"/>
  <c r="P79" i="6"/>
  <c r="K76" i="6"/>
  <c r="M74" i="6"/>
  <c r="S45" i="6" l="1"/>
  <c r="S42" i="6"/>
  <c r="S41" i="6"/>
  <c r="S48" i="6"/>
  <c r="S43" i="6"/>
  <c r="S46" i="6"/>
  <c r="S49" i="6"/>
  <c r="S44" i="6"/>
  <c r="C66" i="6" a="1"/>
  <c r="C66" i="6" s="1"/>
  <c r="E65" i="6"/>
  <c r="C68" i="6" l="1"/>
  <c r="C67" i="6"/>
</calcChain>
</file>

<file path=xl/sharedStrings.xml><?xml version="1.0" encoding="utf-8"?>
<sst xmlns="http://schemas.openxmlformats.org/spreadsheetml/2006/main" count="149" uniqueCount="69">
  <si>
    <t>Encouru Cumulatif</t>
  </si>
  <si>
    <t>i / j</t>
  </si>
  <si>
    <t>Encouru Incrémental</t>
  </si>
  <si>
    <t>Paramètres</t>
  </si>
  <si>
    <t>MU</t>
  </si>
  <si>
    <t>Alpha i</t>
  </si>
  <si>
    <t>Beta j</t>
  </si>
  <si>
    <t>Encouru Espéré - Mu i,j</t>
  </si>
  <si>
    <t>Log-vraisemblance i,j</t>
  </si>
  <si>
    <t>Log-vraisemblance totale</t>
  </si>
  <si>
    <t>Prévisions / Réserves</t>
  </si>
  <si>
    <t xml:space="preserve">AA i </t>
  </si>
  <si>
    <t>Réserve i</t>
  </si>
  <si>
    <t>R</t>
  </si>
  <si>
    <t>ALPHA</t>
  </si>
  <si>
    <t xml:space="preserve">On assume ici qu'il y a eu un changement de vice-présidence dans </t>
  </si>
  <si>
    <t>l'année de calendrier 5</t>
  </si>
  <si>
    <t>X i,j: Indicateur de CY = 5</t>
  </si>
  <si>
    <t>GAMMA</t>
  </si>
  <si>
    <t xml:space="preserve">Le changement de vice-présidence de la CY 5 a eu pour effet d'augmenter la valeur des sinistres payés </t>
  </si>
  <si>
    <t>Données "RECTANGULAIRES</t>
  </si>
  <si>
    <t>AA i</t>
  </si>
  <si>
    <t>Age j</t>
  </si>
  <si>
    <t>Y i j</t>
  </si>
  <si>
    <t>Variables explicatives</t>
  </si>
  <si>
    <t>X1=1[AA=2]</t>
  </si>
  <si>
    <t>X2=1[AA=3]</t>
  </si>
  <si>
    <t>X3=1[AA=4]</t>
  </si>
  <si>
    <t>X4=1[AA=5]</t>
  </si>
  <si>
    <t>X5=1[Age=2]</t>
  </si>
  <si>
    <t>X6=1[Age=3]</t>
  </si>
  <si>
    <t>X7=1[Age=4]</t>
  </si>
  <si>
    <t>X8=1[Age=5]</t>
  </si>
  <si>
    <t>X0=1</t>
  </si>
  <si>
    <t>Vecteur Beta INITIAL</t>
  </si>
  <si>
    <t>Beta 0</t>
  </si>
  <si>
    <t>Beta 1</t>
  </si>
  <si>
    <t>Beta 2</t>
  </si>
  <si>
    <t>Beta 3</t>
  </si>
  <si>
    <t>Beta 4</t>
  </si>
  <si>
    <t>Beta 5</t>
  </si>
  <si>
    <t>Beta 6</t>
  </si>
  <si>
    <t>Beta 7</t>
  </si>
  <si>
    <t>Beta 8</t>
  </si>
  <si>
    <t>XBETA</t>
  </si>
  <si>
    <t>EXP(XBETA)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</si>
  <si>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</si>
  <si>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</si>
  <si>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</si>
  <si>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</si>
  <si>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</si>
  <si>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</si>
  <si>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</si>
  <si>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</si>
  <si>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</si>
  <si>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Matrice des prévisions H</t>
  </si>
  <si>
    <r>
      <t xml:space="preserve">Vecteur Score </t>
    </r>
    <r>
      <rPr>
        <i/>
        <sz val="8"/>
        <color theme="1"/>
        <rFont val="Calibri"/>
        <family val="2"/>
        <scheme val="minor"/>
      </rPr>
      <t>(Pour calculer: maintenir Ctrl + Maj, et appuyer sur Retour)</t>
    </r>
  </si>
  <si>
    <r>
      <t xml:space="preserve">Matrice d'information de Fisher </t>
    </r>
    <r>
      <rPr>
        <i/>
        <sz val="8"/>
        <color theme="1"/>
        <rFont val="Calibri"/>
        <family val="2"/>
        <scheme val="minor"/>
      </rPr>
      <t>(Pour calculer: maintenir Ctrl + Maj, et appuyer sur Retour)</t>
    </r>
  </si>
  <si>
    <r>
      <t xml:space="preserve">Vecteur Beta MIS-À-JOUR </t>
    </r>
    <r>
      <rPr>
        <i/>
        <sz val="8"/>
        <color theme="1"/>
        <rFont val="Calibri"/>
        <family val="2"/>
        <scheme val="minor"/>
      </rPr>
      <t>(Pour calculer: maintenir Ctrl + Maj, et appuyer sur Retour)</t>
    </r>
  </si>
  <si>
    <t>Calcul de Réserve</t>
  </si>
  <si>
    <r>
      <t xml:space="preserve">Vecteur de dérivée de R par rapport aux "bétas" </t>
    </r>
    <r>
      <rPr>
        <i/>
        <sz val="8"/>
        <color theme="1"/>
        <rFont val="Calibri"/>
        <family val="2"/>
        <scheme val="minor"/>
      </rPr>
      <t>(Pour calculer: maintenir Ctrl + Maj, et appuyer sur Retour)</t>
    </r>
  </si>
  <si>
    <t>Réserve estimée</t>
  </si>
  <si>
    <r>
      <t xml:space="preserve">Matrice de Variance-Covariances des "bétas" </t>
    </r>
    <r>
      <rPr>
        <i/>
        <sz val="8"/>
        <color theme="1"/>
        <rFont val="Calibri"/>
        <family val="2"/>
        <scheme val="minor"/>
      </rPr>
      <t>(Pour calculer: maintenir Ctrl + Maj, et appuyer sur Retour)</t>
    </r>
  </si>
  <si>
    <t>Variance de la réserve estimée</t>
  </si>
  <si>
    <t>Réserve MIN</t>
  </si>
  <si>
    <t>Réserve MAX</t>
  </si>
  <si>
    <t>Erreur d'estim. De Taylor</t>
  </si>
  <si>
    <t>Total</t>
  </si>
  <si>
    <t>Z = Y i j - EXP(XBETA)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</si>
</sst>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FFC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3" borderId="0" xfId="0" applyFill="1"/>
    <xf numFmtId="0" fontId="3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</xdr:colOff>
          <xdr:row>40</xdr:row>
          <xdr:rowOff>15240</xdr:rowOff>
        </xdr:from>
        <xdr:to>
          <xdr:col>21</xdr:col>
          <xdr:colOff>167640</xdr:colOff>
          <xdr:row>42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1 itération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46"/>
  <sheetViews>
    <sheetView topLeftCell="A21" workbookViewId="0">
      <selection activeCell="I26" sqref="I26"/>
    </sheetView>
  </sheetViews>
  <sheetFormatPr baseColWidth="10" defaultRowHeight="14.4" x14ac:dyDescent="0.3"/>
  <sheetData>
    <row r="1" spans="1:6" x14ac:dyDescent="0.3">
      <c r="A1" s="1" t="s">
        <v>0</v>
      </c>
    </row>
    <row r="3" spans="1:6" x14ac:dyDescent="0.3">
      <c r="A3" s="2" t="s">
        <v>1</v>
      </c>
      <c r="B3" s="2">
        <v>1</v>
      </c>
      <c r="C3" s="2">
        <v>2</v>
      </c>
      <c r="D3" s="2">
        <v>3</v>
      </c>
      <c r="E3" s="2">
        <v>4</v>
      </c>
      <c r="F3" s="2">
        <v>5</v>
      </c>
    </row>
    <row r="4" spans="1:6" x14ac:dyDescent="0.3">
      <c r="A4" s="2">
        <v>1</v>
      </c>
      <c r="B4">
        <v>100</v>
      </c>
      <c r="C4">
        <v>150</v>
      </c>
      <c r="D4">
        <v>175</v>
      </c>
      <c r="E4">
        <v>180</v>
      </c>
      <c r="F4">
        <v>200</v>
      </c>
    </row>
    <row r="5" spans="1:6" x14ac:dyDescent="0.3">
      <c r="A5" s="2">
        <v>2</v>
      </c>
      <c r="B5">
        <v>110</v>
      </c>
      <c r="C5">
        <v>168</v>
      </c>
      <c r="D5">
        <v>192</v>
      </c>
      <c r="E5">
        <v>205</v>
      </c>
    </row>
    <row r="6" spans="1:6" x14ac:dyDescent="0.3">
      <c r="A6" s="2">
        <v>3</v>
      </c>
      <c r="B6">
        <v>115</v>
      </c>
      <c r="C6">
        <v>169</v>
      </c>
      <c r="D6">
        <v>202</v>
      </c>
    </row>
    <row r="7" spans="1:6" x14ac:dyDescent="0.3">
      <c r="A7" s="2">
        <v>4</v>
      </c>
      <c r="B7">
        <v>125</v>
      </c>
      <c r="C7">
        <v>185</v>
      </c>
    </row>
    <row r="8" spans="1:6" x14ac:dyDescent="0.3">
      <c r="A8" s="2">
        <v>5</v>
      </c>
      <c r="B8">
        <v>150</v>
      </c>
    </row>
    <row r="10" spans="1:6" x14ac:dyDescent="0.3">
      <c r="A10" s="1" t="s">
        <v>2</v>
      </c>
    </row>
    <row r="12" spans="1:6" x14ac:dyDescent="0.3">
      <c r="A12" s="2" t="s">
        <v>1</v>
      </c>
      <c r="B12" s="2">
        <v>1</v>
      </c>
      <c r="C12" s="2">
        <v>2</v>
      </c>
      <c r="D12" s="2">
        <v>3</v>
      </c>
      <c r="E12" s="2">
        <v>4</v>
      </c>
      <c r="F12" s="2">
        <v>5</v>
      </c>
    </row>
    <row r="13" spans="1:6" x14ac:dyDescent="0.3">
      <c r="A13" s="2">
        <v>1</v>
      </c>
      <c r="B13">
        <f>B4-0</f>
        <v>100</v>
      </c>
      <c r="C13">
        <f>C4-B4</f>
        <v>50</v>
      </c>
      <c r="D13">
        <f>D4-C4</f>
        <v>25</v>
      </c>
      <c r="E13">
        <f>E4-D4</f>
        <v>5</v>
      </c>
      <c r="F13">
        <f>F4-E4</f>
        <v>20</v>
      </c>
    </row>
    <row r="14" spans="1:6" x14ac:dyDescent="0.3">
      <c r="A14" s="2">
        <v>2</v>
      </c>
      <c r="B14">
        <f t="shared" ref="B14:B17" si="0">B5-0</f>
        <v>110</v>
      </c>
      <c r="C14">
        <f t="shared" ref="C14:D16" si="1">C5-B5</f>
        <v>58</v>
      </c>
      <c r="D14">
        <f t="shared" si="1"/>
        <v>24</v>
      </c>
      <c r="E14">
        <f>E5-D5</f>
        <v>13</v>
      </c>
    </row>
    <row r="15" spans="1:6" x14ac:dyDescent="0.3">
      <c r="A15" s="2">
        <v>3</v>
      </c>
      <c r="B15">
        <f t="shared" si="0"/>
        <v>115</v>
      </c>
      <c r="C15">
        <f t="shared" si="1"/>
        <v>54</v>
      </c>
      <c r="D15">
        <f t="shared" si="1"/>
        <v>33</v>
      </c>
    </row>
    <row r="16" spans="1:6" x14ac:dyDescent="0.3">
      <c r="A16" s="2">
        <v>4</v>
      </c>
      <c r="B16">
        <f t="shared" si="0"/>
        <v>125</v>
      </c>
      <c r="C16">
        <f t="shared" si="1"/>
        <v>60</v>
      </c>
    </row>
    <row r="17" spans="1:10" x14ac:dyDescent="0.3">
      <c r="A17" s="2">
        <v>5</v>
      </c>
      <c r="B17">
        <f t="shared" si="0"/>
        <v>150</v>
      </c>
    </row>
    <row r="19" spans="1:10" x14ac:dyDescent="0.3">
      <c r="A19" s="1" t="s">
        <v>7</v>
      </c>
    </row>
    <row r="20" spans="1:10" x14ac:dyDescent="0.3">
      <c r="H20" s="1" t="s">
        <v>3</v>
      </c>
    </row>
    <row r="21" spans="1:10" x14ac:dyDescent="0.3">
      <c r="A21" s="2" t="s">
        <v>1</v>
      </c>
      <c r="B21" s="2">
        <v>1</v>
      </c>
      <c r="C21" s="2">
        <v>2</v>
      </c>
      <c r="D21" s="2">
        <v>3</v>
      </c>
      <c r="E21" s="2">
        <v>4</v>
      </c>
      <c r="F21" s="2">
        <v>5</v>
      </c>
    </row>
    <row r="22" spans="1:10" x14ac:dyDescent="0.3">
      <c r="A22" s="2">
        <v>1</v>
      </c>
      <c r="B22">
        <f>EXP($I$22+VLOOKUP($A22,$H$25:$J$29,2,FALSE)+VLOOKUP(B$21,$H$25:$J$29,3,FALSE))</f>
        <v>98.340327959246679</v>
      </c>
      <c r="C22">
        <f>EXP($I$22+VLOOKUP($A22,$H$25:$J$29,2,FALSE)+VLOOKUP(C$21,$H$25:$J$29,3,FALSE))</f>
        <v>48.514891575528843</v>
      </c>
      <c r="D22">
        <f>EXP($I$22+VLOOKUP($A22,$H$25:$J$29,2,FALSE)+VLOOKUP(D$21,$H$25:$J$29,3,FALSE))</f>
        <v>24.72727725358116</v>
      </c>
      <c r="E22">
        <f>EXP($I$22+VLOOKUP($A22,$H$25:$J$29,2,FALSE)+VLOOKUP(E$21,$H$25:$J$29,3,FALSE))</f>
        <v>8.4155360827148673</v>
      </c>
      <c r="F22">
        <f>EXP($I$22+VLOOKUP($A22,$H$25:$J$29,2,FALSE)+VLOOKUP(F$21,$H$25:$J$29,3,FALSE))</f>
        <v>19.999897336908351</v>
      </c>
      <c r="H22" s="2" t="s">
        <v>4</v>
      </c>
      <c r="I22" s="4">
        <v>4.5884341969309137</v>
      </c>
    </row>
    <row r="23" spans="1:10" x14ac:dyDescent="0.3">
      <c r="A23" s="2">
        <v>2</v>
      </c>
      <c r="B23">
        <f>EXP($I$22+VLOOKUP($A23,$H$25:$J$29,2,FALSE)+VLOOKUP(B$21,$H$25:$J$29,3,FALSE))</f>
        <v>112.00041236986038</v>
      </c>
      <c r="C23">
        <f>EXP($I$22+VLOOKUP($A23,$H$25:$J$29,2,FALSE)+VLOOKUP(C$21,$H$25:$J$29,3,FALSE))</f>
        <v>55.253912360248343</v>
      </c>
      <c r="D23">
        <f>EXP($I$22+VLOOKUP($A23,$H$25:$J$29,2,FALSE)+VLOOKUP(D$21,$H$25:$J$29,3,FALSE))</f>
        <v>28.162050164533273</v>
      </c>
      <c r="E23">
        <f>EXP($I$22+VLOOKUP($A23,$H$25:$J$29,2,FALSE)+VLOOKUP(E$21,$H$25:$J$29,3,FALSE))</f>
        <v>9.5845064902377093</v>
      </c>
    </row>
    <row r="24" spans="1:10" x14ac:dyDescent="0.3">
      <c r="A24" s="2">
        <v>3</v>
      </c>
      <c r="B24">
        <f>EXP($I$22+VLOOKUP($A24,$H$25:$J$29,2,FALSE)+VLOOKUP(B$21,$H$25:$J$29,3,FALSE))</f>
        <v>115.77424842664071</v>
      </c>
      <c r="C24">
        <f>EXP($I$22+VLOOKUP($A24,$H$25:$J$29,2,FALSE)+VLOOKUP(C$21,$H$25:$J$29,3,FALSE))</f>
        <v>57.115684137076173</v>
      </c>
      <c r="D24">
        <f>EXP($I$22+VLOOKUP($A24,$H$25:$J$29,2,FALSE)+VLOOKUP(D$21,$H$25:$J$29,3,FALSE))</f>
        <v>29.110965959528787</v>
      </c>
      <c r="H24" s="2" t="s">
        <v>1</v>
      </c>
      <c r="I24" s="2" t="s">
        <v>5</v>
      </c>
      <c r="J24" s="2" t="s">
        <v>6</v>
      </c>
    </row>
    <row r="25" spans="1:10" x14ac:dyDescent="0.3">
      <c r="A25" s="2">
        <v>4</v>
      </c>
      <c r="B25">
        <f>EXP($I$22+VLOOKUP($A25,$H$25:$J$29,2,FALSE)+VLOOKUP(B$21,$H$25:$J$29,3,FALSE))</f>
        <v>123.88366207148073</v>
      </c>
      <c r="C25">
        <f>EXP($I$22+VLOOKUP($A25,$H$25:$J$29,2,FALSE)+VLOOKUP(C$21,$H$25:$J$29,3,FALSE))</f>
        <v>61.11635539661853</v>
      </c>
      <c r="H25" s="2">
        <v>1</v>
      </c>
      <c r="I25" s="6">
        <v>0</v>
      </c>
      <c r="J25" s="7">
        <v>0</v>
      </c>
    </row>
    <row r="26" spans="1:10" x14ac:dyDescent="0.3">
      <c r="A26" s="2">
        <v>5</v>
      </c>
      <c r="B26">
        <f>EXP($I$22+VLOOKUP($A26,$H$25:$J$29,2,FALSE)+VLOOKUP(B$21,$H$25:$J$29,3,FALSE))</f>
        <v>149.99989077853417</v>
      </c>
      <c r="H26" s="2">
        <v>2</v>
      </c>
      <c r="I26" s="4">
        <v>0.13006835623115592</v>
      </c>
      <c r="J26" s="4">
        <v>-0.70656340332105927</v>
      </c>
    </row>
    <row r="27" spans="1:10" x14ac:dyDescent="0.3">
      <c r="H27" s="2">
        <v>3</v>
      </c>
      <c r="I27" s="4">
        <v>0.16320796374254123</v>
      </c>
      <c r="J27" s="4">
        <v>-1.3805272203840653</v>
      </c>
    </row>
    <row r="28" spans="1:10" x14ac:dyDescent="0.3">
      <c r="A28" s="1" t="s">
        <v>8</v>
      </c>
      <c r="H28" s="2">
        <v>4</v>
      </c>
      <c r="I28" s="4">
        <v>0.23090871917952693</v>
      </c>
      <c r="J28" s="4">
        <v>-2.4583546657064623</v>
      </c>
    </row>
    <row r="29" spans="1:10" x14ac:dyDescent="0.3">
      <c r="H29" s="2">
        <v>5</v>
      </c>
      <c r="I29" s="4">
        <v>0.42220036902197144</v>
      </c>
      <c r="J29" s="4">
        <v>-1.5927070565446801</v>
      </c>
    </row>
    <row r="30" spans="1:10" x14ac:dyDescent="0.3">
      <c r="A30" s="2" t="s">
        <v>1</v>
      </c>
      <c r="B30" s="2">
        <v>1</v>
      </c>
      <c r="C30" s="2">
        <v>2</v>
      </c>
      <c r="D30" s="2">
        <v>3</v>
      </c>
      <c r="E30" s="2">
        <v>4</v>
      </c>
      <c r="F30" s="2">
        <v>5</v>
      </c>
    </row>
    <row r="31" spans="1:10" x14ac:dyDescent="0.3">
      <c r="A31" s="2">
        <v>1</v>
      </c>
      <c r="B31">
        <f>B13*LN(B22)-B22</f>
        <v>360.50309173384471</v>
      </c>
      <c r="C31">
        <f>C13*LN(C22)-C22</f>
        <v>145.57864810496386</v>
      </c>
      <c r="D31">
        <f>D13*LN(D22)-D22</f>
        <v>55.470397160090045</v>
      </c>
      <c r="E31">
        <f>E13*LN(E22)-E22</f>
        <v>2.2348615734073896</v>
      </c>
      <c r="F31">
        <f>F13*LN(F22)-F22</f>
        <v>39.914645470816325</v>
      </c>
      <c r="H31" s="1" t="s">
        <v>9</v>
      </c>
      <c r="J31" s="3">
        <f>SUM(F31,E31:E32,D31:D33,C31:C34,B31:B35)</f>
        <v>3199.8207525286925</v>
      </c>
    </row>
    <row r="32" spans="1:10" x14ac:dyDescent="0.3">
      <c r="A32" s="2">
        <v>2</v>
      </c>
      <c r="B32">
        <f t="shared" ref="B32:C35" si="2">B14*LN(B23)-B23</f>
        <v>407.03486847796734</v>
      </c>
      <c r="C32">
        <f t="shared" si="2"/>
        <v>177.43855833053027</v>
      </c>
      <c r="D32">
        <f t="shared" ref="D32:E32" si="3">D14*LN(D23)-D23</f>
        <v>51.949357822138836</v>
      </c>
      <c r="E32">
        <f t="shared" si="3"/>
        <v>19.797416046685193</v>
      </c>
    </row>
    <row r="33" spans="1:9" x14ac:dyDescent="0.3">
      <c r="A33" s="2">
        <v>3</v>
      </c>
      <c r="B33">
        <f t="shared" si="2"/>
        <v>430.6646000508066</v>
      </c>
      <c r="C33">
        <f t="shared" si="2"/>
        <v>161.31856875995322</v>
      </c>
      <c r="D33">
        <f t="shared" ref="D33" si="4">D15*LN(D24)-D24</f>
        <v>82.13582707002108</v>
      </c>
    </row>
    <row r="34" spans="1:9" x14ac:dyDescent="0.3">
      <c r="A34" s="2">
        <v>4</v>
      </c>
      <c r="B34">
        <f t="shared" si="2"/>
        <v>478.53420244232433</v>
      </c>
      <c r="C34">
        <f t="shared" si="2"/>
        <v>185.65041537074435</v>
      </c>
    </row>
    <row r="35" spans="1:9" x14ac:dyDescent="0.3">
      <c r="A35" s="2">
        <v>5</v>
      </c>
      <c r="B35">
        <f t="shared" si="2"/>
        <v>601.59529411439848</v>
      </c>
    </row>
    <row r="37" spans="1:9" x14ac:dyDescent="0.3">
      <c r="A37" s="1" t="s">
        <v>10</v>
      </c>
    </row>
    <row r="39" spans="1:9" x14ac:dyDescent="0.3">
      <c r="A39" s="2" t="s">
        <v>1</v>
      </c>
      <c r="B39" s="2">
        <v>1</v>
      </c>
      <c r="C39" s="2">
        <v>2</v>
      </c>
      <c r="D39" s="2">
        <v>3</v>
      </c>
      <c r="E39" s="2">
        <v>4</v>
      </c>
      <c r="F39" s="2">
        <v>5</v>
      </c>
      <c r="H39" s="2" t="s">
        <v>11</v>
      </c>
      <c r="I39" s="2" t="s">
        <v>12</v>
      </c>
    </row>
    <row r="40" spans="1:9" x14ac:dyDescent="0.3">
      <c r="A40" s="2">
        <v>1</v>
      </c>
      <c r="B40" s="10"/>
      <c r="C40" s="9"/>
      <c r="D40" s="9"/>
      <c r="E40" s="9"/>
      <c r="F40" s="5"/>
      <c r="H40" s="2">
        <v>1</v>
      </c>
      <c r="I40">
        <f>0</f>
        <v>0</v>
      </c>
    </row>
    <row r="41" spans="1:9" x14ac:dyDescent="0.3">
      <c r="A41" s="2">
        <v>2</v>
      </c>
      <c r="B41" s="11"/>
      <c r="E41" s="8"/>
      <c r="F41">
        <f>EXP($I$22+VLOOKUP($A41,$H$25:$J$29,2,FALSE)+VLOOKUP(F$21,$H$25:$J$29,3,FALSE))</f>
        <v>22.778007716395731</v>
      </c>
      <c r="H41" s="2">
        <v>2</v>
      </c>
      <c r="I41">
        <f>F41</f>
        <v>22.778007716395731</v>
      </c>
    </row>
    <row r="42" spans="1:9" x14ac:dyDescent="0.3">
      <c r="A42" s="2">
        <v>3</v>
      </c>
      <c r="B42" s="11"/>
      <c r="D42" s="8"/>
      <c r="E42">
        <f>EXP($I$22+VLOOKUP($A42,$H$25:$J$29,2,FALSE)+VLOOKUP(E$21,$H$25:$J$29,3,FALSE))</f>
        <v>9.9074549099261855</v>
      </c>
      <c r="F42">
        <f>EXP($I$22+VLOOKUP($A42,$H$25:$J$29,2,FALSE)+VLOOKUP(F$21,$H$25:$J$29,3,FALSE))</f>
        <v>23.545509058604061</v>
      </c>
      <c r="H42" s="2">
        <v>3</v>
      </c>
      <c r="I42">
        <f>SUM(E42:F42)</f>
        <v>33.452963968530248</v>
      </c>
    </row>
    <row r="43" spans="1:9" x14ac:dyDescent="0.3">
      <c r="A43" s="2">
        <v>4</v>
      </c>
      <c r="B43" s="11"/>
      <c r="C43" s="8"/>
      <c r="D43">
        <f>EXP($I$22+VLOOKUP($A43,$H$25:$J$29,2,FALSE)+VLOOKUP(D$21,$H$25:$J$29,3,FALSE))</f>
        <v>31.150045182887009</v>
      </c>
      <c r="E43">
        <f>EXP($I$22+VLOOKUP($A43,$H$25:$J$29,2,FALSE)+VLOOKUP(E$21,$H$25:$J$29,3,FALSE))</f>
        <v>10.601423137956633</v>
      </c>
      <c r="F43">
        <f>EXP($I$22+VLOOKUP($A43,$H$25:$J$29,2,FALSE)+VLOOKUP(F$21,$H$25:$J$29,3,FALSE))</f>
        <v>25.194755545015379</v>
      </c>
      <c r="H43" s="2">
        <v>4</v>
      </c>
      <c r="I43">
        <f>SUM(D43:F43)</f>
        <v>66.946223865859025</v>
      </c>
    </row>
    <row r="44" spans="1:9" x14ac:dyDescent="0.3">
      <c r="A44" s="2">
        <v>5</v>
      </c>
      <c r="B44" s="12"/>
      <c r="C44">
        <f>EXP($I$22+VLOOKUP($A44,$H$25:$J$29,2,FALSE)+VLOOKUP(C$21,$H$25:$J$29,3,FALSE))</f>
        <v>74.000449139009547</v>
      </c>
      <c r="D44">
        <f>EXP($I$22+VLOOKUP($A44,$H$25:$J$29,2,FALSE)+VLOOKUP(D$21,$H$25:$J$29,3,FALSE))</f>
        <v>37.716865138224819</v>
      </c>
      <c r="E44">
        <f>EXP($I$22+VLOOKUP($A44,$H$25:$J$29,2,FALSE)+VLOOKUP(E$21,$H$25:$J$29,3,FALSE))</f>
        <v>12.836336012354632</v>
      </c>
      <c r="F44">
        <f>EXP($I$22+VLOOKUP($A44,$H$25:$J$29,2,FALSE)+VLOOKUP(F$21,$H$25:$J$29,3,FALSE))</f>
        <v>30.506125801831516</v>
      </c>
      <c r="H44" s="2">
        <v>5</v>
      </c>
      <c r="I44">
        <f>SUM(C44:F44)</f>
        <v>155.05977609142053</v>
      </c>
    </row>
    <row r="46" spans="1:9" x14ac:dyDescent="0.3">
      <c r="H46" s="2" t="s">
        <v>13</v>
      </c>
      <c r="I46" s="3">
        <f>SUM(I40:I44)</f>
        <v>278.2369716422055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46"/>
  <sheetViews>
    <sheetView topLeftCell="A13" workbookViewId="0">
      <selection activeCell="J31" sqref="J31"/>
    </sheetView>
  </sheetViews>
  <sheetFormatPr baseColWidth="10" defaultRowHeight="14.4" x14ac:dyDescent="0.3"/>
  <sheetData>
    <row r="1" spans="1:13" x14ac:dyDescent="0.3">
      <c r="A1" s="1" t="s">
        <v>0</v>
      </c>
    </row>
    <row r="3" spans="1:13" x14ac:dyDescent="0.3">
      <c r="A3" s="2" t="s">
        <v>1</v>
      </c>
      <c r="B3" s="2">
        <v>1</v>
      </c>
      <c r="C3" s="2">
        <v>2</v>
      </c>
      <c r="D3" s="2">
        <v>3</v>
      </c>
      <c r="E3" s="2">
        <v>4</v>
      </c>
      <c r="F3" s="2">
        <v>5</v>
      </c>
    </row>
    <row r="4" spans="1:13" x14ac:dyDescent="0.3">
      <c r="A4" s="2">
        <v>1</v>
      </c>
      <c r="B4">
        <v>100</v>
      </c>
      <c r="C4">
        <v>150</v>
      </c>
      <c r="D4">
        <v>175</v>
      </c>
      <c r="E4">
        <v>180</v>
      </c>
      <c r="F4" s="13">
        <v>200</v>
      </c>
      <c r="H4" s="14" t="s">
        <v>15</v>
      </c>
    </row>
    <row r="5" spans="1:13" x14ac:dyDescent="0.3">
      <c r="A5" s="2">
        <v>2</v>
      </c>
      <c r="B5">
        <v>110</v>
      </c>
      <c r="C5">
        <v>168</v>
      </c>
      <c r="D5">
        <v>192</v>
      </c>
      <c r="E5" s="13">
        <v>205</v>
      </c>
      <c r="H5" s="14" t="s">
        <v>16</v>
      </c>
    </row>
    <row r="6" spans="1:13" x14ac:dyDescent="0.3">
      <c r="A6" s="2">
        <v>3</v>
      </c>
      <c r="B6">
        <v>115</v>
      </c>
      <c r="C6">
        <v>169</v>
      </c>
      <c r="D6" s="13">
        <v>202</v>
      </c>
    </row>
    <row r="7" spans="1:13" x14ac:dyDescent="0.3">
      <c r="A7" s="2">
        <v>4</v>
      </c>
      <c r="B7">
        <v>125</v>
      </c>
      <c r="C7" s="13">
        <v>185</v>
      </c>
    </row>
    <row r="8" spans="1:13" x14ac:dyDescent="0.3">
      <c r="A8" s="2">
        <v>5</v>
      </c>
      <c r="B8" s="13">
        <v>150</v>
      </c>
    </row>
    <row r="10" spans="1:13" x14ac:dyDescent="0.3">
      <c r="A10" s="1" t="s">
        <v>2</v>
      </c>
      <c r="H10" s="1" t="s">
        <v>17</v>
      </c>
    </row>
    <row r="12" spans="1:13" x14ac:dyDescent="0.3">
      <c r="A12" s="2" t="s">
        <v>1</v>
      </c>
      <c r="B12" s="2">
        <v>1</v>
      </c>
      <c r="C12" s="2">
        <v>2</v>
      </c>
      <c r="D12" s="2">
        <v>3</v>
      </c>
      <c r="E12" s="2">
        <v>4</v>
      </c>
      <c r="F12" s="2">
        <v>5</v>
      </c>
      <c r="H12" s="2" t="s">
        <v>1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</row>
    <row r="13" spans="1:13" x14ac:dyDescent="0.3">
      <c r="A13" s="2">
        <v>1</v>
      </c>
      <c r="B13">
        <f>B4-0</f>
        <v>100</v>
      </c>
      <c r="C13">
        <f>C4-B4</f>
        <v>50</v>
      </c>
      <c r="D13">
        <f>D4-C4</f>
        <v>25</v>
      </c>
      <c r="E13">
        <f>E4-D4</f>
        <v>5</v>
      </c>
      <c r="F13">
        <f>F4-E4</f>
        <v>20</v>
      </c>
      <c r="H13" s="2">
        <v>1</v>
      </c>
      <c r="I13">
        <f>IF($H13+I$12-1=5,1,0)</f>
        <v>0</v>
      </c>
      <c r="J13">
        <f t="shared" ref="J13:M16" si="0">IF($H13+J$12-1=5,1,0)</f>
        <v>0</v>
      </c>
      <c r="K13">
        <f t="shared" si="0"/>
        <v>0</v>
      </c>
      <c r="L13">
        <f t="shared" si="0"/>
        <v>0</v>
      </c>
      <c r="M13">
        <f t="shared" si="0"/>
        <v>1</v>
      </c>
    </row>
    <row r="14" spans="1:13" x14ac:dyDescent="0.3">
      <c r="A14" s="2">
        <v>2</v>
      </c>
      <c r="B14">
        <f t="shared" ref="B14:B17" si="1">B5-0</f>
        <v>110</v>
      </c>
      <c r="C14">
        <f t="shared" ref="C14:D16" si="2">C5-B5</f>
        <v>58</v>
      </c>
      <c r="D14">
        <f t="shared" si="2"/>
        <v>24</v>
      </c>
      <c r="E14">
        <f>E5-D5</f>
        <v>13</v>
      </c>
      <c r="H14" s="2">
        <v>2</v>
      </c>
      <c r="I14">
        <f>IF($H14+I$12-1=5,1,0)</f>
        <v>0</v>
      </c>
      <c r="J14">
        <f t="shared" si="0"/>
        <v>0</v>
      </c>
      <c r="K14">
        <f t="shared" si="0"/>
        <v>0</v>
      </c>
      <c r="L14">
        <f t="shared" si="0"/>
        <v>1</v>
      </c>
    </row>
    <row r="15" spans="1:13" x14ac:dyDescent="0.3">
      <c r="A15" s="2">
        <v>3</v>
      </c>
      <c r="B15">
        <f t="shared" si="1"/>
        <v>115</v>
      </c>
      <c r="C15">
        <f t="shared" si="2"/>
        <v>54</v>
      </c>
      <c r="D15">
        <f t="shared" si="2"/>
        <v>33</v>
      </c>
      <c r="H15" s="2">
        <v>3</v>
      </c>
      <c r="I15">
        <f>IF($H15+I$12-1=5,1,0)</f>
        <v>0</v>
      </c>
      <c r="J15">
        <f t="shared" si="0"/>
        <v>0</v>
      </c>
      <c r="K15">
        <f t="shared" si="0"/>
        <v>1</v>
      </c>
    </row>
    <row r="16" spans="1:13" x14ac:dyDescent="0.3">
      <c r="A16" s="2">
        <v>4</v>
      </c>
      <c r="B16">
        <f t="shared" si="1"/>
        <v>125</v>
      </c>
      <c r="C16">
        <f t="shared" si="2"/>
        <v>60</v>
      </c>
      <c r="H16" s="2">
        <v>4</v>
      </c>
      <c r="I16">
        <f>IF($H16+I$12-1=5,1,0)</f>
        <v>0</v>
      </c>
      <c r="J16">
        <f t="shared" si="0"/>
        <v>1</v>
      </c>
    </row>
    <row r="17" spans="1:12" x14ac:dyDescent="0.3">
      <c r="A17" s="2">
        <v>5</v>
      </c>
      <c r="B17">
        <f t="shared" si="1"/>
        <v>150</v>
      </c>
      <c r="H17" s="2">
        <v>5</v>
      </c>
      <c r="I17">
        <f>IF($H17+I$12-1=5,1,0)</f>
        <v>1</v>
      </c>
    </row>
    <row r="19" spans="1:12" x14ac:dyDescent="0.3">
      <c r="A19" s="1" t="s">
        <v>7</v>
      </c>
    </row>
    <row r="20" spans="1:12" x14ac:dyDescent="0.3">
      <c r="H20" s="1" t="s">
        <v>3</v>
      </c>
    </row>
    <row r="21" spans="1:12" x14ac:dyDescent="0.3">
      <c r="A21" s="2" t="s">
        <v>1</v>
      </c>
      <c r="B21" s="2">
        <v>1</v>
      </c>
      <c r="C21" s="2">
        <v>2</v>
      </c>
      <c r="D21" s="2">
        <v>3</v>
      </c>
      <c r="E21" s="2">
        <v>4</v>
      </c>
      <c r="F21" s="2">
        <v>5</v>
      </c>
    </row>
    <row r="22" spans="1:12" x14ac:dyDescent="0.3">
      <c r="A22" s="2">
        <v>1</v>
      </c>
      <c r="B22">
        <f>EXP($I$22+VLOOKUP($A22,$H$25:$J$29,2,FALSE)+VLOOKUP(B$21,$H$25:$J$29,3,FALSE)+I13*$L$22)</f>
        <v>100.38227837652147</v>
      </c>
      <c r="C22">
        <f t="shared" ref="C22:F22" si="3">EXP($I$22+VLOOKUP($A22,$H$25:$J$29,2,FALSE)+VLOOKUP(C$21,$H$25:$J$29,3,FALSE)+J13*$L$22)</f>
        <v>47.853477165558552</v>
      </c>
      <c r="D22">
        <f t="shared" si="3"/>
        <v>23.866420361759069</v>
      </c>
      <c r="E22">
        <f t="shared" si="3"/>
        <v>7.893723771742847</v>
      </c>
      <c r="F22">
        <f t="shared" si="3"/>
        <v>19.999924004929344</v>
      </c>
      <c r="H22" s="2" t="s">
        <v>4</v>
      </c>
      <c r="I22" s="4">
        <v>4.6089856814838619</v>
      </c>
      <c r="K22" s="1" t="s">
        <v>18</v>
      </c>
      <c r="L22" s="4">
        <v>0.12269462790342577</v>
      </c>
    </row>
    <row r="23" spans="1:12" x14ac:dyDescent="0.3">
      <c r="A23" s="2">
        <v>2</v>
      </c>
      <c r="B23">
        <f>EXP($I$22+VLOOKUP($A23,$H$25:$J$29,2,FALSE)+VLOOKUP(B$21,$H$25:$J$29,3,FALSE)+I14*$L$22)</f>
        <v>113.67614612354849</v>
      </c>
      <c r="C23">
        <f>EXP($I$22+VLOOKUP($A23,$H$25:$J$29,2,FALSE)+VLOOKUP(C$21,$H$25:$J$29,3,FALSE)+J14*$L$22)</f>
        <v>54.190828807331059</v>
      </c>
      <c r="D23">
        <f t="shared" ref="D23:D24" si="4">EXP($I$22+VLOOKUP($A23,$H$25:$J$29,2,FALSE)+VLOOKUP(D$21,$H$25:$J$29,3,FALSE)+K14*$L$22)</f>
        <v>27.027108094847886</v>
      </c>
      <c r="E23">
        <f t="shared" ref="E23" si="5">EXP($I$22+VLOOKUP($A23,$H$25:$J$29,2,FALSE)+VLOOKUP(E$21,$H$25:$J$29,3,FALSE)+L14*$L$22)</f>
        <v>10.106012189047883</v>
      </c>
      <c r="L23" s="14" t="s">
        <v>19</v>
      </c>
    </row>
    <row r="24" spans="1:12" x14ac:dyDescent="0.3">
      <c r="A24" s="2">
        <v>3</v>
      </c>
      <c r="B24">
        <f>EXP($I$22+VLOOKUP($A24,$H$25:$J$29,2,FALSE)+VLOOKUP(B$21,$H$25:$J$29,3,FALSE)+I15*$L$22)</f>
        <v>115.72554549342155</v>
      </c>
      <c r="C24">
        <f t="shared" ref="C24" si="6">EXP($I$22+VLOOKUP($A24,$H$25:$J$29,2,FALSE)+VLOOKUP(C$21,$H$25:$J$29,3,FALSE)+J15*$L$22)</f>
        <v>55.167802906100555</v>
      </c>
      <c r="D24">
        <f t="shared" si="4"/>
        <v>31.106064875203387</v>
      </c>
      <c r="H24" s="2" t="s">
        <v>1</v>
      </c>
      <c r="I24" s="2" t="s">
        <v>5</v>
      </c>
      <c r="J24" s="2" t="s">
        <v>6</v>
      </c>
    </row>
    <row r="25" spans="1:12" x14ac:dyDescent="0.3">
      <c r="A25" s="2">
        <v>4</v>
      </c>
      <c r="B25">
        <f>EXP($I$22+VLOOKUP($A25,$H$25:$J$29,2,FALSE)+VLOOKUP(B$21,$H$25:$J$29,3,FALSE)+I16*$L$22)</f>
        <v>120.212346878018</v>
      </c>
      <c r="C25">
        <f>EXP($I$22+VLOOKUP($A25,$H$25:$J$29,2,FALSE)+VLOOKUP(C$21,$H$25:$J$29,3,FALSE)+J16*$L$22)</f>
        <v>64.787485907175082</v>
      </c>
      <c r="H25" s="2">
        <v>1</v>
      </c>
      <c r="I25" s="6">
        <v>0</v>
      </c>
      <c r="J25" s="7">
        <v>0</v>
      </c>
    </row>
    <row r="26" spans="1:12" x14ac:dyDescent="0.3">
      <c r="A26" s="2">
        <v>5</v>
      </c>
      <c r="B26">
        <f>EXP($I$22+VLOOKUP($A26,$H$25:$J$29,2,FALSE)+VLOOKUP(B$21,$H$25:$J$29,3,FALSE)+I17*$L$22)</f>
        <v>150.00017629911736</v>
      </c>
      <c r="H26" s="2">
        <v>2</v>
      </c>
      <c r="I26" s="4">
        <v>0.12436790063557569</v>
      </c>
      <c r="J26" s="4">
        <v>-0.74084189818834101</v>
      </c>
    </row>
    <row r="27" spans="1:12" x14ac:dyDescent="0.3">
      <c r="H27" s="2">
        <v>3</v>
      </c>
      <c r="I27" s="4">
        <v>0.14223571912658861</v>
      </c>
      <c r="J27" s="4">
        <v>-1.4365132162766516</v>
      </c>
    </row>
    <row r="28" spans="1:12" x14ac:dyDescent="0.3">
      <c r="A28" s="1" t="s">
        <v>8</v>
      </c>
      <c r="H28" s="2">
        <v>4</v>
      </c>
      <c r="I28" s="4">
        <v>0.18027405479302877</v>
      </c>
      <c r="J28" s="4">
        <v>-2.5429176970339564</v>
      </c>
    </row>
    <row r="29" spans="1:12" x14ac:dyDescent="0.3">
      <c r="H29" s="2">
        <v>5</v>
      </c>
      <c r="I29" s="4">
        <v>0.27895616003572682</v>
      </c>
      <c r="J29" s="4">
        <v>-1.7359518355940486</v>
      </c>
    </row>
    <row r="30" spans="1:12" x14ac:dyDescent="0.3">
      <c r="A30" s="2" t="s">
        <v>1</v>
      </c>
      <c r="B30" s="2">
        <v>1</v>
      </c>
      <c r="C30" s="2">
        <v>2</v>
      </c>
      <c r="D30" s="2">
        <v>3</v>
      </c>
      <c r="E30" s="2">
        <v>4</v>
      </c>
      <c r="F30" s="2">
        <v>5</v>
      </c>
    </row>
    <row r="31" spans="1:12" x14ac:dyDescent="0.3">
      <c r="A31" s="2">
        <v>1</v>
      </c>
      <c r="B31">
        <f>B13*LN(B22)-B22</f>
        <v>360.51628977186471</v>
      </c>
      <c r="C31">
        <f>C13*LN(C22)-C22</f>
        <v>145.55371199921748</v>
      </c>
      <c r="D31">
        <f>D13*LN(D22)-D22</f>
        <v>55.44539126842119</v>
      </c>
      <c r="E31">
        <f>E13*LN(E22)-E22</f>
        <v>2.4366161505066799</v>
      </c>
      <c r="F31">
        <f>F13*LN(F22)-F22</f>
        <v>39.91464547093544</v>
      </c>
      <c r="H31" s="1" t="s">
        <v>9</v>
      </c>
      <c r="J31" s="3">
        <f>SUM(F31,E31:E32,D31:D33,C31:C34,B31:B35)</f>
        <v>3200.2015066497647</v>
      </c>
    </row>
    <row r="32" spans="1:12" x14ac:dyDescent="0.3">
      <c r="A32" s="2">
        <v>2</v>
      </c>
      <c r="B32">
        <f t="shared" ref="B32:E35" si="7">B14*LN(B23)-B23</f>
        <v>406.99274790958964</v>
      </c>
      <c r="C32">
        <f t="shared" si="7"/>
        <v>177.37484886067253</v>
      </c>
      <c r="D32">
        <f t="shared" si="7"/>
        <v>52.097060685378963</v>
      </c>
      <c r="E32">
        <f t="shared" si="7"/>
        <v>19.9646844798079</v>
      </c>
    </row>
    <row r="33" spans="1:9" x14ac:dyDescent="0.3">
      <c r="A33" s="2">
        <v>3</v>
      </c>
      <c r="B33">
        <f t="shared" si="7"/>
        <v>430.66491557678023</v>
      </c>
      <c r="C33">
        <f t="shared" si="7"/>
        <v>161.39269022469338</v>
      </c>
      <c r="D33">
        <f t="shared" si="7"/>
        <v>82.32822792862504</v>
      </c>
    </row>
    <row r="34" spans="1:9" x14ac:dyDescent="0.3">
      <c r="A34" s="2">
        <v>4</v>
      </c>
      <c r="B34">
        <f t="shared" si="7"/>
        <v>478.44512015659325</v>
      </c>
      <c r="C34">
        <f t="shared" si="7"/>
        <v>185.47926205234342</v>
      </c>
    </row>
    <row r="35" spans="1:9" x14ac:dyDescent="0.3">
      <c r="A35" s="2">
        <v>5</v>
      </c>
      <c r="B35">
        <f t="shared" si="7"/>
        <v>601.59529411433471</v>
      </c>
    </row>
    <row r="37" spans="1:9" x14ac:dyDescent="0.3">
      <c r="A37" s="1" t="s">
        <v>10</v>
      </c>
    </row>
    <row r="39" spans="1:9" x14ac:dyDescent="0.3">
      <c r="A39" s="2" t="s">
        <v>1</v>
      </c>
      <c r="B39" s="2">
        <v>1</v>
      </c>
      <c r="C39" s="2">
        <v>2</v>
      </c>
      <c r="D39" s="2">
        <v>3</v>
      </c>
      <c r="E39" s="2">
        <v>4</v>
      </c>
      <c r="F39" s="2">
        <v>5</v>
      </c>
      <c r="H39" s="2" t="s">
        <v>11</v>
      </c>
      <c r="I39" s="2" t="s">
        <v>12</v>
      </c>
    </row>
    <row r="40" spans="1:9" x14ac:dyDescent="0.3">
      <c r="A40" s="2">
        <v>1</v>
      </c>
      <c r="B40" s="10"/>
      <c r="C40" s="9"/>
      <c r="D40" s="9"/>
      <c r="E40" s="9"/>
      <c r="F40" s="5"/>
      <c r="H40" s="2">
        <v>1</v>
      </c>
      <c r="I40">
        <f>0</f>
        <v>0</v>
      </c>
    </row>
    <row r="41" spans="1:9" x14ac:dyDescent="0.3">
      <c r="A41" s="2">
        <v>2</v>
      </c>
      <c r="B41" s="11"/>
      <c r="E41" s="8"/>
      <c r="F41">
        <f>EXP($I$22+VLOOKUP($A41,$H$25:$J$29,2,FALSE)+VLOOKUP(F$21,$H$25:$J$29,3,FALSE))</f>
        <v>20.033417346344635</v>
      </c>
      <c r="H41" s="2">
        <v>2</v>
      </c>
      <c r="I41">
        <f>F41</f>
        <v>20.033417346344635</v>
      </c>
    </row>
    <row r="42" spans="1:9" x14ac:dyDescent="0.3">
      <c r="A42" s="2">
        <v>3</v>
      </c>
      <c r="B42" s="11"/>
      <c r="D42" s="8"/>
      <c r="E42">
        <f>EXP($I$22+VLOOKUP($A42,$H$25:$J$29,2,FALSE)+VLOOKUP(E$21,$H$25:$J$29,3,FALSE))</f>
        <v>9.1002665433920953</v>
      </c>
      <c r="F42">
        <f>EXP($I$22+VLOOKUP($A42,$H$25:$J$29,2,FALSE)+VLOOKUP(F$21,$H$25:$J$29,3,FALSE))</f>
        <v>20.394587867039277</v>
      </c>
      <c r="H42" s="2">
        <v>3</v>
      </c>
      <c r="I42">
        <f>SUM(E42:F42)</f>
        <v>29.494854410431373</v>
      </c>
    </row>
    <row r="43" spans="1:9" x14ac:dyDescent="0.3">
      <c r="A43" s="2">
        <v>4</v>
      </c>
      <c r="B43" s="11"/>
      <c r="C43" s="8"/>
      <c r="D43">
        <f>EXP($I$22+VLOOKUP($A43,$H$25:$J$29,2,FALSE)+VLOOKUP(D$21,$H$25:$J$29,3,FALSE))</f>
        <v>28.581124573632071</v>
      </c>
      <c r="E43">
        <f>EXP($I$22+VLOOKUP($A43,$H$25:$J$29,2,FALSE)+VLOOKUP(E$21,$H$25:$J$29,3,FALSE))</f>
        <v>9.4530934698325435</v>
      </c>
      <c r="F43">
        <f>EXP($I$22+VLOOKUP($A43,$H$25:$J$29,2,FALSE)+VLOOKUP(F$21,$H$25:$J$29,3,FALSE))</f>
        <v>21.185307536494694</v>
      </c>
      <c r="H43" s="2">
        <v>4</v>
      </c>
      <c r="I43">
        <f>SUM(D43:F43)</f>
        <v>59.21952557995931</v>
      </c>
    </row>
    <row r="44" spans="1:9" x14ac:dyDescent="0.3">
      <c r="A44" s="2">
        <v>5</v>
      </c>
      <c r="B44" s="12"/>
      <c r="C44">
        <f>EXP($I$22+VLOOKUP($A44,$H$25:$J$29,2,FALSE)+VLOOKUP(C$21,$H$25:$J$29,3,FALSE))</f>
        <v>63.250304595252267</v>
      </c>
      <c r="D44">
        <f>EXP($I$22+VLOOKUP($A44,$H$25:$J$29,2,FALSE)+VLOOKUP(D$21,$H$25:$J$29,3,FALSE))</f>
        <v>31.54542672535533</v>
      </c>
      <c r="E44">
        <f>EXP($I$22+VLOOKUP($A44,$H$25:$J$29,2,FALSE)+VLOOKUP(E$21,$H$25:$J$29,3,FALSE))</f>
        <v>10.433524636593479</v>
      </c>
      <c r="F44">
        <f>EXP($I$22+VLOOKUP($A44,$H$25:$J$29,2,FALSE)+VLOOKUP(F$21,$H$25:$J$29,3,FALSE))</f>
        <v>23.382549725253316</v>
      </c>
      <c r="H44" s="2">
        <v>5</v>
      </c>
      <c r="I44">
        <f>SUM(C44:F44)</f>
        <v>128.61180568245439</v>
      </c>
    </row>
    <row r="46" spans="1:9" x14ac:dyDescent="0.3">
      <c r="H46" s="2" t="s">
        <v>13</v>
      </c>
      <c r="I46" s="3">
        <f>SUM(I40:I44)</f>
        <v>237.35960301918971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L46"/>
  <sheetViews>
    <sheetView topLeftCell="A31" workbookViewId="0">
      <selection activeCell="G12" sqref="G12"/>
    </sheetView>
  </sheetViews>
  <sheetFormatPr baseColWidth="10" defaultRowHeight="14.4" x14ac:dyDescent="0.3"/>
  <sheetData>
    <row r="1" spans="1:6" x14ac:dyDescent="0.3">
      <c r="A1" s="1" t="s">
        <v>0</v>
      </c>
    </row>
    <row r="3" spans="1:6" x14ac:dyDescent="0.3">
      <c r="A3" s="2" t="s">
        <v>1</v>
      </c>
      <c r="B3" s="2">
        <v>1</v>
      </c>
      <c r="C3" s="2">
        <v>2</v>
      </c>
      <c r="D3" s="2">
        <v>3</v>
      </c>
      <c r="E3" s="2">
        <v>4</v>
      </c>
      <c r="F3" s="2">
        <v>5</v>
      </c>
    </row>
    <row r="4" spans="1:6" x14ac:dyDescent="0.3">
      <c r="A4" s="2">
        <v>1</v>
      </c>
      <c r="B4">
        <v>100</v>
      </c>
      <c r="C4">
        <v>150</v>
      </c>
      <c r="D4">
        <v>175</v>
      </c>
      <c r="E4">
        <v>180</v>
      </c>
      <c r="F4">
        <v>200</v>
      </c>
    </row>
    <row r="5" spans="1:6" x14ac:dyDescent="0.3">
      <c r="A5" s="2">
        <v>2</v>
      </c>
      <c r="B5">
        <v>110</v>
      </c>
      <c r="C5">
        <v>168</v>
      </c>
      <c r="D5">
        <v>192</v>
      </c>
      <c r="E5">
        <v>205</v>
      </c>
    </row>
    <row r="6" spans="1:6" x14ac:dyDescent="0.3">
      <c r="A6" s="2">
        <v>3</v>
      </c>
      <c r="B6">
        <v>115</v>
      </c>
      <c r="C6">
        <v>169</v>
      </c>
      <c r="D6">
        <v>202</v>
      </c>
    </row>
    <row r="7" spans="1:6" x14ac:dyDescent="0.3">
      <c r="A7" s="2">
        <v>4</v>
      </c>
      <c r="B7">
        <v>125</v>
      </c>
      <c r="C7">
        <v>185</v>
      </c>
    </row>
    <row r="8" spans="1:6" x14ac:dyDescent="0.3">
      <c r="A8" s="2">
        <v>5</v>
      </c>
      <c r="B8">
        <v>150</v>
      </c>
    </row>
    <row r="10" spans="1:6" x14ac:dyDescent="0.3">
      <c r="A10" s="1" t="s">
        <v>2</v>
      </c>
    </row>
    <row r="12" spans="1:6" x14ac:dyDescent="0.3">
      <c r="A12" s="2" t="s">
        <v>1</v>
      </c>
      <c r="B12" s="2">
        <v>1</v>
      </c>
      <c r="C12" s="2">
        <v>2</v>
      </c>
      <c r="D12" s="2">
        <v>3</v>
      </c>
      <c r="E12" s="2">
        <v>4</v>
      </c>
      <c r="F12" s="2">
        <v>5</v>
      </c>
    </row>
    <row r="13" spans="1:6" x14ac:dyDescent="0.3">
      <c r="A13" s="2">
        <v>1</v>
      </c>
      <c r="B13">
        <f>B4-0</f>
        <v>100</v>
      </c>
      <c r="C13">
        <f>C4-B4</f>
        <v>50</v>
      </c>
      <c r="D13">
        <f>D4-C4</f>
        <v>25</v>
      </c>
      <c r="E13">
        <f>E4-D4</f>
        <v>5</v>
      </c>
      <c r="F13">
        <f>F4-E4</f>
        <v>20</v>
      </c>
    </row>
    <row r="14" spans="1:6" x14ac:dyDescent="0.3">
      <c r="A14" s="2">
        <v>2</v>
      </c>
      <c r="B14">
        <f t="shared" ref="B14:B17" si="0">B5-0</f>
        <v>110</v>
      </c>
      <c r="C14">
        <f t="shared" ref="C14:D16" si="1">C5-B5</f>
        <v>58</v>
      </c>
      <c r="D14">
        <f t="shared" si="1"/>
        <v>24</v>
      </c>
      <c r="E14">
        <f>E5-D5</f>
        <v>13</v>
      </c>
    </row>
    <row r="15" spans="1:6" x14ac:dyDescent="0.3">
      <c r="A15" s="2">
        <v>3</v>
      </c>
      <c r="B15">
        <f t="shared" si="0"/>
        <v>115</v>
      </c>
      <c r="C15">
        <f t="shared" si="1"/>
        <v>54</v>
      </c>
      <c r="D15">
        <f t="shared" si="1"/>
        <v>33</v>
      </c>
    </row>
    <row r="16" spans="1:6" x14ac:dyDescent="0.3">
      <c r="A16" s="2">
        <v>4</v>
      </c>
      <c r="B16">
        <f t="shared" si="0"/>
        <v>125</v>
      </c>
      <c r="C16">
        <f t="shared" si="1"/>
        <v>60</v>
      </c>
    </row>
    <row r="17" spans="1:12" x14ac:dyDescent="0.3">
      <c r="A17" s="2">
        <v>5</v>
      </c>
      <c r="B17">
        <f t="shared" si="0"/>
        <v>150</v>
      </c>
    </row>
    <row r="19" spans="1:12" x14ac:dyDescent="0.3">
      <c r="A19" s="1" t="s">
        <v>7</v>
      </c>
    </row>
    <row r="20" spans="1:12" x14ac:dyDescent="0.3">
      <c r="H20" s="1" t="s">
        <v>3</v>
      </c>
    </row>
    <row r="21" spans="1:12" x14ac:dyDescent="0.3">
      <c r="A21" s="2" t="s">
        <v>1</v>
      </c>
      <c r="B21" s="2">
        <v>1</v>
      </c>
      <c r="C21" s="2">
        <v>2</v>
      </c>
      <c r="D21" s="2">
        <v>3</v>
      </c>
      <c r="E21" s="2">
        <v>4</v>
      </c>
      <c r="F21" s="2">
        <v>5</v>
      </c>
    </row>
    <row r="22" spans="1:12" x14ac:dyDescent="0.3">
      <c r="A22" s="2">
        <v>1</v>
      </c>
      <c r="B22">
        <f>EXP($I$22+VLOOKUP($A22,$H$25:$J$29,2,FALSE)+VLOOKUP(B$21,$H$25:$J$29,3,FALSE))</f>
        <v>90.54569169165606</v>
      </c>
      <c r="C22">
        <f>EXP($I$22+VLOOKUP($A22,$H$25:$J$29,2,FALSE)+VLOOKUP(C$21,$H$25:$J$29,3,FALSE))</f>
        <v>44.709618235531181</v>
      </c>
      <c r="D22">
        <f>EXP($I$22+VLOOKUP($A22,$H$25:$J$29,2,FALSE)+VLOOKUP(D$21,$H$25:$J$29,3,FALSE))</f>
        <v>22.735578881053755</v>
      </c>
      <c r="E22">
        <f>EXP($I$22+VLOOKUP($A22,$H$25:$J$29,2,FALSE)+VLOOKUP(E$21,$H$25:$J$29,3,FALSE))</f>
        <v>7.3784118881554743</v>
      </c>
      <c r="F22">
        <f>EXP($I$22+VLOOKUP($A22,$H$25:$J$29,2,FALSE)+VLOOKUP(F$21,$H$25:$J$29,3,FALSE))</f>
        <v>20.000780270421593</v>
      </c>
      <c r="H22" s="2" t="s">
        <v>4</v>
      </c>
      <c r="I22" s="4">
        <v>4.5058546038673528</v>
      </c>
      <c r="K22" s="2" t="s">
        <v>14</v>
      </c>
      <c r="L22" s="4">
        <v>45.651180964287072</v>
      </c>
    </row>
    <row r="23" spans="1:12" x14ac:dyDescent="0.3">
      <c r="A23" s="2">
        <v>2</v>
      </c>
      <c r="B23">
        <f>EXP($I$22+VLOOKUP($A23,$H$25:$J$29,2,FALSE)+VLOOKUP(B$21,$H$25:$J$29,3,FALSE))</f>
        <v>120.64346141971778</v>
      </c>
      <c r="C23">
        <f>EXP($I$22+VLOOKUP($A23,$H$25:$J$29,2,FALSE)+VLOOKUP(C$21,$H$25:$J$29,3,FALSE))</f>
        <v>59.571283866901815</v>
      </c>
      <c r="D23">
        <f>EXP($I$22+VLOOKUP($A23,$H$25:$J$29,2,FALSE)+VLOOKUP(D$21,$H$25:$J$29,3,FALSE))</f>
        <v>30.292981171672047</v>
      </c>
      <c r="E23">
        <f>EXP($I$22+VLOOKUP($A23,$H$25:$J$29,2,FALSE)+VLOOKUP(E$21,$H$25:$J$29,3,FALSE))</f>
        <v>9.8310271127952689</v>
      </c>
    </row>
    <row r="24" spans="1:12" x14ac:dyDescent="0.3">
      <c r="A24" s="2">
        <v>3</v>
      </c>
      <c r="B24">
        <f>EXP($I$22+VLOOKUP($A24,$H$25:$J$29,2,FALSE)+VLOOKUP(B$21,$H$25:$J$29,3,FALSE))</f>
        <v>118.59159583054931</v>
      </c>
      <c r="C24">
        <f>EXP($I$22+VLOOKUP($A24,$H$25:$J$29,2,FALSE)+VLOOKUP(C$21,$H$25:$J$29,3,FALSE))</f>
        <v>58.558114433343889</v>
      </c>
      <c r="D24">
        <f>EXP($I$22+VLOOKUP($A24,$H$25:$J$29,2,FALSE)+VLOOKUP(D$21,$H$25:$J$29,3,FALSE))</f>
        <v>29.777767790623255</v>
      </c>
      <c r="H24" s="2" t="s">
        <v>1</v>
      </c>
      <c r="I24" s="2" t="s">
        <v>5</v>
      </c>
      <c r="J24" s="2" t="s">
        <v>6</v>
      </c>
    </row>
    <row r="25" spans="1:12" x14ac:dyDescent="0.3">
      <c r="A25" s="2">
        <v>4</v>
      </c>
      <c r="B25">
        <f>EXP($I$22+VLOOKUP($A25,$H$25:$J$29,2,FALSE)+VLOOKUP(B$21,$H$25:$J$29,3,FALSE))</f>
        <v>123.2559470931518</v>
      </c>
      <c r="C25">
        <f>EXP($I$22+VLOOKUP($A25,$H$25:$J$29,2,FALSE)+VLOOKUP(C$21,$H$25:$J$29,3,FALSE))</f>
        <v>60.861276078820531</v>
      </c>
      <c r="H25" s="2">
        <v>1</v>
      </c>
      <c r="I25" s="6">
        <v>0</v>
      </c>
      <c r="J25" s="7">
        <v>0</v>
      </c>
    </row>
    <row r="26" spans="1:12" x14ac:dyDescent="0.3">
      <c r="A26" s="2">
        <v>5</v>
      </c>
      <c r="B26">
        <f>EXP($I$22+VLOOKUP($A26,$H$25:$J$29,2,FALSE)+VLOOKUP(B$21,$H$25:$J$29,3,FALSE))</f>
        <v>150.00336750519145</v>
      </c>
      <c r="H26" s="2">
        <v>2</v>
      </c>
      <c r="I26" s="4">
        <v>0.2869849921202523</v>
      </c>
      <c r="J26" s="4">
        <v>-0.70566595233984231</v>
      </c>
    </row>
    <row r="27" spans="1:12" x14ac:dyDescent="0.3">
      <c r="H27" s="2">
        <v>3</v>
      </c>
      <c r="I27" s="4">
        <v>0.26983101872299531</v>
      </c>
      <c r="J27" s="4">
        <v>-1.3819235548052848</v>
      </c>
    </row>
    <row r="28" spans="1:12" x14ac:dyDescent="0.3">
      <c r="A28" s="1" t="s">
        <v>8</v>
      </c>
      <c r="H28" s="2">
        <v>4</v>
      </c>
      <c r="I28" s="4">
        <v>0.30840846016843698</v>
      </c>
      <c r="J28" s="4">
        <v>-2.5072961797187894</v>
      </c>
    </row>
    <row r="29" spans="1:12" x14ac:dyDescent="0.3">
      <c r="H29" s="2">
        <v>5</v>
      </c>
      <c r="I29" s="4">
        <v>0.50480314001151438</v>
      </c>
      <c r="J29" s="4">
        <v>-1.5100833175532897</v>
      </c>
    </row>
    <row r="30" spans="1:12" x14ac:dyDescent="0.3">
      <c r="A30" s="2" t="s">
        <v>1</v>
      </c>
      <c r="B30" s="2">
        <v>1</v>
      </c>
      <c r="C30" s="2">
        <v>2</v>
      </c>
      <c r="D30" s="2">
        <v>3</v>
      </c>
      <c r="E30" s="2">
        <v>4</v>
      </c>
      <c r="F30" s="2">
        <v>5</v>
      </c>
    </row>
    <row r="31" spans="1:12" x14ac:dyDescent="0.3">
      <c r="A31" s="2">
        <v>1</v>
      </c>
      <c r="B31">
        <f>LN(GAMMADIST(B13,$L$22,B22/$L$22,FALSE))</f>
        <v>-3.8482037078450446</v>
      </c>
      <c r="C31">
        <f>LN(GAMMADIST(C13,$L$22,C22/$L$22,FALSE))</f>
        <v>-3.2186965008719506</v>
      </c>
      <c r="D31">
        <f>LN(GAMMADIST(D13,$L$22,D22/$L$22,FALSE))</f>
        <v>-2.4415560971409329</v>
      </c>
      <c r="E31">
        <f>LN(GAMMADIST(E13,$L$22,E22/$L$22,FALSE))</f>
        <v>-3.6679585218061304</v>
      </c>
      <c r="F31">
        <f>LN(GAMMADIST(F13,$L$22,F22/$L$22,FALSE))</f>
        <v>-2.0059815104947494</v>
      </c>
      <c r="H31" s="1" t="s">
        <v>9</v>
      </c>
      <c r="J31" s="3">
        <f>SUM(F31,E31:E32,D31:D33,C31:C34,B31:B35)</f>
        <v>-49.690567388883544</v>
      </c>
    </row>
    <row r="32" spans="1:12" x14ac:dyDescent="0.3">
      <c r="A32" s="2">
        <v>2</v>
      </c>
      <c r="B32">
        <f t="shared" ref="B32:C35" si="2">LN(GAMMADIST(B14,$L$22,B23/$L$22,FALSE))</f>
        <v>-3.8995785915951382</v>
      </c>
      <c r="C32">
        <f t="shared" si="2"/>
        <v>-3.0868573525606524</v>
      </c>
      <c r="D32">
        <f t="shared" ref="D32:E32" si="3">LN(GAMMADIST(D14,$L$22,D23/$L$22,FALSE))</f>
        <v>-3.3352863091937306</v>
      </c>
      <c r="E32">
        <f t="shared" si="3"/>
        <v>-3.5353729692527391</v>
      </c>
    </row>
    <row r="33" spans="1:9" x14ac:dyDescent="0.3">
      <c r="A33" s="2">
        <v>3</v>
      </c>
      <c r="B33">
        <f t="shared" si="2"/>
        <v>-3.7765496479795022</v>
      </c>
      <c r="C33">
        <f t="shared" si="2"/>
        <v>-3.1451555951073247</v>
      </c>
      <c r="D33">
        <f t="shared" ref="D33" si="4">LN(GAMMADIST(D15,$L$22,D24/$L$22,FALSE))</f>
        <v>-2.7561872029464118</v>
      </c>
    </row>
    <row r="34" spans="1:9" x14ac:dyDescent="0.3">
      <c r="A34" s="2">
        <v>4</v>
      </c>
      <c r="B34">
        <f t="shared" si="2"/>
        <v>-3.8430903796471059</v>
      </c>
      <c r="C34">
        <f t="shared" si="2"/>
        <v>-3.1092084946412633</v>
      </c>
    </row>
    <row r="35" spans="1:9" x14ac:dyDescent="0.3">
      <c r="A35" s="2">
        <v>5</v>
      </c>
      <c r="B35">
        <f t="shared" si="2"/>
        <v>-4.0208845078008668</v>
      </c>
    </row>
    <row r="37" spans="1:9" x14ac:dyDescent="0.3">
      <c r="A37" s="1" t="s">
        <v>10</v>
      </c>
    </row>
    <row r="39" spans="1:9" x14ac:dyDescent="0.3">
      <c r="A39" s="2" t="s">
        <v>1</v>
      </c>
      <c r="B39" s="2">
        <v>1</v>
      </c>
      <c r="C39" s="2">
        <v>2</v>
      </c>
      <c r="D39" s="2">
        <v>3</v>
      </c>
      <c r="E39" s="2">
        <v>4</v>
      </c>
      <c r="F39" s="2">
        <v>5</v>
      </c>
      <c r="H39" s="2" t="s">
        <v>11</v>
      </c>
      <c r="I39" s="2" t="s">
        <v>12</v>
      </c>
    </row>
    <row r="40" spans="1:9" x14ac:dyDescent="0.3">
      <c r="A40" s="2">
        <v>1</v>
      </c>
      <c r="B40" s="10"/>
      <c r="C40" s="9"/>
      <c r="D40" s="9"/>
      <c r="E40" s="9"/>
      <c r="F40" s="5"/>
      <c r="H40" s="2">
        <v>1</v>
      </c>
      <c r="I40">
        <f>0</f>
        <v>0</v>
      </c>
    </row>
    <row r="41" spans="1:9" x14ac:dyDescent="0.3">
      <c r="A41" s="2">
        <v>2</v>
      </c>
      <c r="B41" s="11"/>
      <c r="E41" s="8"/>
      <c r="F41">
        <f>EXP($I$22+VLOOKUP($A41,$H$25:$J$29,2,FALSE)+VLOOKUP(F$21,$H$25:$J$29,3,FALSE))</f>
        <v>26.649123970867173</v>
      </c>
      <c r="H41" s="2">
        <v>2</v>
      </c>
      <c r="I41">
        <f>F41</f>
        <v>26.649123970867173</v>
      </c>
    </row>
    <row r="42" spans="1:9" x14ac:dyDescent="0.3">
      <c r="A42" s="2">
        <v>3</v>
      </c>
      <c r="B42" s="11"/>
      <c r="D42" s="8"/>
      <c r="E42">
        <f>EXP($I$22+VLOOKUP($A42,$H$25:$J$29,2,FALSE)+VLOOKUP(E$21,$H$25:$J$29,3,FALSE))</f>
        <v>9.6638241330270667</v>
      </c>
      <c r="F42">
        <f>EXP($I$22+VLOOKUP($A42,$H$25:$J$29,2,FALSE)+VLOOKUP(F$21,$H$25:$J$29,3,FALSE))</f>
        <v>26.195884153194218</v>
      </c>
      <c r="H42" s="2">
        <v>3</v>
      </c>
      <c r="I42">
        <f>SUM(E42:F42)</f>
        <v>35.859708286221284</v>
      </c>
    </row>
    <row r="43" spans="1:9" x14ac:dyDescent="0.3">
      <c r="A43" s="2">
        <v>4</v>
      </c>
      <c r="B43" s="11"/>
      <c r="C43" s="8"/>
      <c r="D43">
        <f>EXP($I$22+VLOOKUP($A43,$H$25:$J$29,2,FALSE)+VLOOKUP(D$21,$H$25:$J$29,3,FALSE))</f>
        <v>30.948963504948047</v>
      </c>
      <c r="E43">
        <f>EXP($I$22+VLOOKUP($A43,$H$25:$J$29,2,FALSE)+VLOOKUP(E$21,$H$25:$J$29,3,FALSE))</f>
        <v>10.043914054077288</v>
      </c>
      <c r="F43">
        <f>EXP($I$22+VLOOKUP($A43,$H$25:$J$29,2,FALSE)+VLOOKUP(F$21,$H$25:$J$29,3,FALSE))</f>
        <v>27.226200040835426</v>
      </c>
      <c r="H43" s="2">
        <v>4</v>
      </c>
      <c r="I43">
        <f>SUM(D43:F43)</f>
        <v>68.219077599860753</v>
      </c>
    </row>
    <row r="44" spans="1:9" x14ac:dyDescent="0.3">
      <c r="A44" s="2">
        <v>5</v>
      </c>
      <c r="B44" s="12"/>
      <c r="C44">
        <f>EXP($I$22+VLOOKUP($A44,$H$25:$J$29,2,FALSE)+VLOOKUP(C$21,$H$25:$J$29,3,FALSE))</f>
        <v>74.068607461079409</v>
      </c>
      <c r="D44">
        <f>EXP($I$22+VLOOKUP($A44,$H$25:$J$29,2,FALSE)+VLOOKUP(D$21,$H$25:$J$29,3,FALSE))</f>
        <v>37.665109522292717</v>
      </c>
      <c r="E44">
        <f>EXP($I$22+VLOOKUP($A44,$H$25:$J$29,2,FALSE)+VLOOKUP(E$21,$H$25:$J$29,3,FALSE))</f>
        <v>12.223515104757341</v>
      </c>
      <c r="F44">
        <f>EXP($I$22+VLOOKUP($A44,$H$25:$J$29,2,FALSE)+VLOOKUP(F$21,$H$25:$J$29,3,FALSE))</f>
        <v>33.134479810607097</v>
      </c>
      <c r="H44" s="2">
        <v>5</v>
      </c>
      <c r="I44">
        <f>SUM(C44:F44)</f>
        <v>157.09171189873655</v>
      </c>
    </row>
    <row r="46" spans="1:9" x14ac:dyDescent="0.3">
      <c r="H46" s="2" t="s">
        <v>13</v>
      </c>
      <c r="I46" s="3">
        <f>SUM(I40:I44)</f>
        <v>287.81962175568577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P80"/>
  <sheetViews>
    <sheetView tabSelected="1" topLeftCell="A63" workbookViewId="0">
      <selection activeCell="D66" sqref="D66"/>
    </sheetView>
  </sheetViews>
  <sheetFormatPr baseColWidth="10" defaultRowHeight="14.4" x14ac:dyDescent="0.3"/>
  <cols>
    <col min="1" max="1" width="13.44140625" customWidth="1"/>
    <col min="2" max="2" width="13.5546875" customWidth="1"/>
    <col min="4" max="4" width="26.21875" customWidth="1"/>
    <col min="5" max="5" width="15.44140625" customWidth="1"/>
    <col min="6" max="6" width="13.88671875" customWidth="1"/>
    <col min="15" max="15" width="18.44140625" bestFit="1" customWidth="1"/>
  </cols>
  <sheetData>
    <row r="1" spans="1:6" x14ac:dyDescent="0.3">
      <c r="A1" s="1" t="s">
        <v>0</v>
      </c>
    </row>
    <row r="3" spans="1:6" x14ac:dyDescent="0.3">
      <c r="A3" s="2" t="s">
        <v>1</v>
      </c>
      <c r="B3" s="2">
        <v>1</v>
      </c>
      <c r="C3" s="2">
        <v>2</v>
      </c>
      <c r="D3" s="2">
        <v>3</v>
      </c>
      <c r="E3" s="2">
        <v>4</v>
      </c>
      <c r="F3" s="2">
        <v>5</v>
      </c>
    </row>
    <row r="4" spans="1:6" x14ac:dyDescent="0.3">
      <c r="A4" s="2">
        <v>1</v>
      </c>
      <c r="B4">
        <v>100</v>
      </c>
      <c r="C4">
        <v>150</v>
      </c>
      <c r="D4">
        <v>175</v>
      </c>
      <c r="E4">
        <v>180</v>
      </c>
      <c r="F4">
        <v>200</v>
      </c>
    </row>
    <row r="5" spans="1:6" x14ac:dyDescent="0.3">
      <c r="A5" s="2">
        <v>2</v>
      </c>
      <c r="B5">
        <v>110</v>
      </c>
      <c r="C5">
        <v>168</v>
      </c>
      <c r="D5">
        <v>192</v>
      </c>
      <c r="E5">
        <v>205</v>
      </c>
    </row>
    <row r="6" spans="1:6" x14ac:dyDescent="0.3">
      <c r="A6" s="2">
        <v>3</v>
      </c>
      <c r="B6">
        <v>115</v>
      </c>
      <c r="C6">
        <v>169</v>
      </c>
      <c r="D6">
        <v>202</v>
      </c>
    </row>
    <row r="7" spans="1:6" x14ac:dyDescent="0.3">
      <c r="A7" s="2">
        <v>4</v>
      </c>
      <c r="B7">
        <v>125</v>
      </c>
      <c r="C7">
        <v>185</v>
      </c>
    </row>
    <row r="8" spans="1:6" x14ac:dyDescent="0.3">
      <c r="A8" s="2">
        <v>5</v>
      </c>
      <c r="B8">
        <v>150</v>
      </c>
    </row>
    <row r="10" spans="1:6" x14ac:dyDescent="0.3">
      <c r="A10" s="1" t="s">
        <v>2</v>
      </c>
    </row>
    <row r="12" spans="1:6" x14ac:dyDescent="0.3">
      <c r="A12" s="2" t="s">
        <v>1</v>
      </c>
      <c r="B12" s="2">
        <v>1</v>
      </c>
      <c r="C12" s="2">
        <v>2</v>
      </c>
      <c r="D12" s="2">
        <v>3</v>
      </c>
      <c r="E12" s="2">
        <v>4</v>
      </c>
      <c r="F12" s="2">
        <v>5</v>
      </c>
    </row>
    <row r="13" spans="1:6" x14ac:dyDescent="0.3">
      <c r="A13" s="2">
        <v>1</v>
      </c>
      <c r="B13">
        <f>B4-0</f>
        <v>100</v>
      </c>
      <c r="C13">
        <f>C4-B4</f>
        <v>50</v>
      </c>
      <c r="D13">
        <f>D4-C4</f>
        <v>25</v>
      </c>
      <c r="E13">
        <f>E4-D4</f>
        <v>5</v>
      </c>
      <c r="F13">
        <f>F4-E4</f>
        <v>20</v>
      </c>
    </row>
    <row r="14" spans="1:6" x14ac:dyDescent="0.3">
      <c r="A14" s="2">
        <v>2</v>
      </c>
      <c r="B14">
        <f t="shared" ref="B14:B17" si="0">B5-0</f>
        <v>110</v>
      </c>
      <c r="C14">
        <f t="shared" ref="C14:D16" si="1">C5-B5</f>
        <v>58</v>
      </c>
      <c r="D14">
        <f t="shared" si="1"/>
        <v>24</v>
      </c>
      <c r="E14">
        <f>E5-D5</f>
        <v>13</v>
      </c>
    </row>
    <row r="15" spans="1:6" x14ac:dyDescent="0.3">
      <c r="A15" s="2">
        <v>3</v>
      </c>
      <c r="B15">
        <f t="shared" si="0"/>
        <v>115</v>
      </c>
      <c r="C15">
        <f t="shared" si="1"/>
        <v>54</v>
      </c>
      <c r="D15">
        <f t="shared" si="1"/>
        <v>33</v>
      </c>
    </row>
    <row r="16" spans="1:6" x14ac:dyDescent="0.3">
      <c r="A16" s="2">
        <v>4</v>
      </c>
      <c r="B16">
        <f t="shared" si="0"/>
        <v>125</v>
      </c>
      <c r="C16">
        <f t="shared" si="1"/>
        <v>60</v>
      </c>
    </row>
    <row r="17" spans="1:42" x14ac:dyDescent="0.3">
      <c r="A17" s="2">
        <v>5</v>
      </c>
      <c r="B17">
        <f t="shared" si="0"/>
        <v>150</v>
      </c>
    </row>
    <row r="18" spans="1:42" x14ac:dyDescent="0.3">
      <c r="A18" s="2"/>
    </row>
    <row r="19" spans="1:42" x14ac:dyDescent="0.3">
      <c r="A19" s="15" t="s">
        <v>20</v>
      </c>
    </row>
    <row r="20" spans="1:42" x14ac:dyDescent="0.3">
      <c r="A20" s="2"/>
      <c r="D20" s="18" t="s">
        <v>24</v>
      </c>
    </row>
    <row r="21" spans="1:42" x14ac:dyDescent="0.3">
      <c r="A21" s="2" t="s">
        <v>21</v>
      </c>
      <c r="B21" s="2" t="s">
        <v>22</v>
      </c>
      <c r="C21" s="2" t="s">
        <v>23</v>
      </c>
      <c r="D21" s="2" t="s">
        <v>33</v>
      </c>
      <c r="E21" s="2" t="s">
        <v>25</v>
      </c>
      <c r="F21" s="2" t="s">
        <v>26</v>
      </c>
      <c r="G21" s="2" t="s">
        <v>27</v>
      </c>
      <c r="H21" s="2" t="s">
        <v>28</v>
      </c>
      <c r="I21" s="2" t="s">
        <v>29</v>
      </c>
      <c r="J21" s="2" t="s">
        <v>30</v>
      </c>
      <c r="K21" s="2" t="s">
        <v>31</v>
      </c>
      <c r="L21" s="2" t="s">
        <v>32</v>
      </c>
      <c r="M21" s="2" t="s">
        <v>44</v>
      </c>
      <c r="N21" s="2" t="s">
        <v>45</v>
      </c>
      <c r="O21" s="2" t="s">
        <v>68</v>
      </c>
      <c r="AB21" s="1" t="s">
        <v>55</v>
      </c>
    </row>
    <row r="22" spans="1:42" x14ac:dyDescent="0.3">
      <c r="A22" s="17">
        <v>1</v>
      </c>
      <c r="B22" s="17">
        <v>1</v>
      </c>
      <c r="C22" s="17">
        <f>VLOOKUP(A22,$A$13:$F$17,B22+1,FALSE)</f>
        <v>100</v>
      </c>
      <c r="D22" s="16">
        <f>1</f>
        <v>1</v>
      </c>
      <c r="E22" s="16">
        <f>IF(A22=2,1,0)</f>
        <v>0</v>
      </c>
      <c r="F22" s="16">
        <f>IF(A22=3,1,0)</f>
        <v>0</v>
      </c>
      <c r="G22" s="16">
        <f>IF(A22=4,1,0)</f>
        <v>0</v>
      </c>
      <c r="H22" s="16">
        <f>IF(A22=5,1,0)</f>
        <v>0</v>
      </c>
      <c r="I22" s="16">
        <f>IF(B22=2,1,0)</f>
        <v>0</v>
      </c>
      <c r="J22" s="16">
        <f>IF(B22=3,1,0)</f>
        <v>0</v>
      </c>
      <c r="K22" s="16">
        <f>IF(B22=4,1,0)</f>
        <v>0</v>
      </c>
      <c r="L22" s="16">
        <f>IF(B22=5,1,0)</f>
        <v>0</v>
      </c>
      <c r="M22" s="20">
        <f>MMULT(D22:L22,$B$41:$B$49)</f>
        <v>4.5884482958544712</v>
      </c>
      <c r="N22" s="20">
        <f>EXP(M22)</f>
        <v>98.341714461787276</v>
      </c>
      <c r="O22" s="20">
        <f>C22-N22</f>
        <v>1.6582855382127235</v>
      </c>
      <c r="AB22" s="21">
        <f>N22</f>
        <v>98.341714461787276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</row>
    <row r="23" spans="1:42" x14ac:dyDescent="0.3">
      <c r="A23" s="17">
        <v>1</v>
      </c>
      <c r="B23" s="17">
        <v>2</v>
      </c>
      <c r="C23" s="17">
        <f t="shared" ref="C23:C36" si="2">VLOOKUP(A23,$A$13:$F$17,B23+1,FALSE)</f>
        <v>50</v>
      </c>
      <c r="D23" s="16">
        <f>1</f>
        <v>1</v>
      </c>
      <c r="E23" s="16">
        <f t="shared" ref="E23:E36" si="3">IF(A23=2,1,0)</f>
        <v>0</v>
      </c>
      <c r="F23" s="16">
        <f t="shared" ref="F23:F36" si="4">IF(A23=3,1,0)</f>
        <v>0</v>
      </c>
      <c r="G23" s="16">
        <f t="shared" ref="G23:G36" si="5">IF(A23=4,1,0)</f>
        <v>0</v>
      </c>
      <c r="H23" s="16">
        <f t="shared" ref="H23:H36" si="6">IF(A23=5,1,0)</f>
        <v>0</v>
      </c>
      <c r="I23" s="16">
        <f t="shared" ref="I23:I36" si="7">IF(B23=2,1,0)</f>
        <v>1</v>
      </c>
      <c r="J23" s="16">
        <f t="shared" ref="J23:J36" si="8">IF(B23=3,1,0)</f>
        <v>0</v>
      </c>
      <c r="K23" s="16">
        <f t="shared" ref="K23:K36" si="9">IF(B23=4,1,0)</f>
        <v>0</v>
      </c>
      <c r="L23" s="16">
        <f t="shared" ref="L23:L36" si="10">IF(B23=5,1,0)</f>
        <v>0</v>
      </c>
      <c r="M23" s="20">
        <f t="shared" ref="M23:M36" si="11">MMULT(D23:L23,$B$41:$B$49)</f>
        <v>3.8818780949623855</v>
      </c>
      <c r="N23" s="20">
        <f t="shared" ref="N23:N36" si="12">EXP(M23)</f>
        <v>48.515245801148403</v>
      </c>
      <c r="O23" s="20">
        <f t="shared" ref="O23:O36" si="13">C23-N23</f>
        <v>1.4847541988515971</v>
      </c>
      <c r="AB23" s="3">
        <v>0</v>
      </c>
      <c r="AC23" s="21">
        <f>N23</f>
        <v>48.515245801148403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</row>
    <row r="24" spans="1:42" x14ac:dyDescent="0.3">
      <c r="A24" s="17">
        <v>1</v>
      </c>
      <c r="B24" s="17">
        <v>3</v>
      </c>
      <c r="C24" s="17">
        <f t="shared" si="2"/>
        <v>25</v>
      </c>
      <c r="D24" s="16">
        <f>1</f>
        <v>1</v>
      </c>
      <c r="E24" s="16">
        <f t="shared" si="3"/>
        <v>0</v>
      </c>
      <c r="F24" s="16">
        <f t="shared" si="4"/>
        <v>0</v>
      </c>
      <c r="G24" s="16">
        <f t="shared" si="5"/>
        <v>0</v>
      </c>
      <c r="H24" s="16">
        <f t="shared" si="6"/>
        <v>0</v>
      </c>
      <c r="I24" s="16">
        <f t="shared" si="7"/>
        <v>0</v>
      </c>
      <c r="J24" s="16">
        <f t="shared" si="8"/>
        <v>1</v>
      </c>
      <c r="K24" s="16">
        <f t="shared" si="9"/>
        <v>0</v>
      </c>
      <c r="L24" s="16">
        <f t="shared" si="10"/>
        <v>0</v>
      </c>
      <c r="M24" s="20">
        <f t="shared" si="11"/>
        <v>3.2079141777949189</v>
      </c>
      <c r="N24" s="20">
        <f t="shared" si="12"/>
        <v>24.727455321479933</v>
      </c>
      <c r="O24" s="20">
        <f t="shared" si="13"/>
        <v>0.2725446785200667</v>
      </c>
      <c r="AB24" s="3">
        <v>0</v>
      </c>
      <c r="AC24" s="3">
        <v>0</v>
      </c>
      <c r="AD24" s="21">
        <f>N24</f>
        <v>24.727455321479933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</row>
    <row r="25" spans="1:42" x14ac:dyDescent="0.3">
      <c r="A25" s="17">
        <v>1</v>
      </c>
      <c r="B25" s="17">
        <v>4</v>
      </c>
      <c r="C25" s="17">
        <f t="shared" si="2"/>
        <v>5</v>
      </c>
      <c r="D25" s="16">
        <f>1</f>
        <v>1</v>
      </c>
      <c r="E25" s="16">
        <f t="shared" si="3"/>
        <v>0</v>
      </c>
      <c r="F25" s="16">
        <f t="shared" si="4"/>
        <v>0</v>
      </c>
      <c r="G25" s="16">
        <f t="shared" si="5"/>
        <v>0</v>
      </c>
      <c r="H25" s="16">
        <f t="shared" si="6"/>
        <v>0</v>
      </c>
      <c r="I25" s="16">
        <f t="shared" si="7"/>
        <v>0</v>
      </c>
      <c r="J25" s="16">
        <f t="shared" si="8"/>
        <v>0</v>
      </c>
      <c r="K25" s="16">
        <f t="shared" si="9"/>
        <v>1</v>
      </c>
      <c r="L25" s="16">
        <f t="shared" si="10"/>
        <v>0</v>
      </c>
      <c r="M25" s="20">
        <f t="shared" si="11"/>
        <v>2.1300852744985908</v>
      </c>
      <c r="N25" s="20">
        <f t="shared" si="12"/>
        <v>8.4155844155844139</v>
      </c>
      <c r="O25" s="20">
        <f t="shared" si="13"/>
        <v>-3.4155844155844139</v>
      </c>
      <c r="AB25" s="3">
        <v>0</v>
      </c>
      <c r="AC25" s="3">
        <v>0</v>
      </c>
      <c r="AD25" s="3">
        <v>0</v>
      </c>
      <c r="AE25" s="21">
        <f>N25</f>
        <v>8.4155844155844139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</row>
    <row r="26" spans="1:42" x14ac:dyDescent="0.3">
      <c r="A26" s="17">
        <v>1</v>
      </c>
      <c r="B26" s="17">
        <v>5</v>
      </c>
      <c r="C26" s="17">
        <f t="shared" si="2"/>
        <v>20</v>
      </c>
      <c r="D26" s="16">
        <f>1</f>
        <v>1</v>
      </c>
      <c r="E26" s="16">
        <f t="shared" si="3"/>
        <v>0</v>
      </c>
      <c r="F26" s="16">
        <f t="shared" si="4"/>
        <v>0</v>
      </c>
      <c r="G26" s="16">
        <f t="shared" si="5"/>
        <v>0</v>
      </c>
      <c r="H26" s="16">
        <f t="shared" si="6"/>
        <v>0</v>
      </c>
      <c r="I26" s="16">
        <f t="shared" si="7"/>
        <v>0</v>
      </c>
      <c r="J26" s="16">
        <f t="shared" si="8"/>
        <v>0</v>
      </c>
      <c r="K26" s="16">
        <f t="shared" si="9"/>
        <v>0</v>
      </c>
      <c r="L26" s="16">
        <f t="shared" si="10"/>
        <v>1</v>
      </c>
      <c r="M26" s="20">
        <f t="shared" si="11"/>
        <v>2.9957322735539922</v>
      </c>
      <c r="N26" s="20">
        <f t="shared" si="12"/>
        <v>20.000000000000025</v>
      </c>
      <c r="O26" s="20">
        <f t="shared" si="13"/>
        <v>0</v>
      </c>
      <c r="AB26" s="3">
        <v>0</v>
      </c>
      <c r="AC26" s="3">
        <v>0</v>
      </c>
      <c r="AD26" s="3">
        <v>0</v>
      </c>
      <c r="AE26" s="3">
        <v>0</v>
      </c>
      <c r="AF26" s="21">
        <f>N26</f>
        <v>20.000000000000025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</row>
    <row r="27" spans="1:42" x14ac:dyDescent="0.3">
      <c r="A27" s="17">
        <v>2</v>
      </c>
      <c r="B27" s="17">
        <v>1</v>
      </c>
      <c r="C27" s="17">
        <f t="shared" si="2"/>
        <v>110</v>
      </c>
      <c r="D27" s="16">
        <f>1</f>
        <v>1</v>
      </c>
      <c r="E27" s="16">
        <f t="shared" si="3"/>
        <v>1</v>
      </c>
      <c r="F27" s="16">
        <f t="shared" si="4"/>
        <v>0</v>
      </c>
      <c r="G27" s="16">
        <f t="shared" si="5"/>
        <v>0</v>
      </c>
      <c r="H27" s="16">
        <f t="shared" si="6"/>
        <v>0</v>
      </c>
      <c r="I27" s="16">
        <f t="shared" si="7"/>
        <v>0</v>
      </c>
      <c r="J27" s="16">
        <f t="shared" si="8"/>
        <v>0</v>
      </c>
      <c r="K27" s="16">
        <f t="shared" si="9"/>
        <v>0</v>
      </c>
      <c r="L27" s="16">
        <f t="shared" si="10"/>
        <v>0</v>
      </c>
      <c r="M27" s="20">
        <f t="shared" si="11"/>
        <v>4.7185014241026693</v>
      </c>
      <c r="N27" s="20">
        <f t="shared" si="12"/>
        <v>112.0002859148133</v>
      </c>
      <c r="O27" s="20">
        <f t="shared" si="13"/>
        <v>-2.0002859148133041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21">
        <f>N27</f>
        <v>112.0002859148133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</row>
    <row r="28" spans="1:42" x14ac:dyDescent="0.3">
      <c r="A28" s="17">
        <v>2</v>
      </c>
      <c r="B28" s="17">
        <v>2</v>
      </c>
      <c r="C28" s="17">
        <f t="shared" si="2"/>
        <v>58</v>
      </c>
      <c r="D28" s="16">
        <f>1</f>
        <v>1</v>
      </c>
      <c r="E28" s="16">
        <f t="shared" si="3"/>
        <v>1</v>
      </c>
      <c r="F28" s="16">
        <f t="shared" si="4"/>
        <v>0</v>
      </c>
      <c r="G28" s="16">
        <f t="shared" si="5"/>
        <v>0</v>
      </c>
      <c r="H28" s="16">
        <f t="shared" si="6"/>
        <v>0</v>
      </c>
      <c r="I28" s="16">
        <f t="shared" si="7"/>
        <v>1</v>
      </c>
      <c r="J28" s="16">
        <f t="shared" si="8"/>
        <v>0</v>
      </c>
      <c r="K28" s="16">
        <f t="shared" si="9"/>
        <v>0</v>
      </c>
      <c r="L28" s="16">
        <f t="shared" si="10"/>
        <v>0</v>
      </c>
      <c r="M28" s="20">
        <f t="shared" si="11"/>
        <v>4.011931223210583</v>
      </c>
      <c r="N28" s="20">
        <f t="shared" si="12"/>
        <v>55.253474384641223</v>
      </c>
      <c r="O28" s="20">
        <f t="shared" si="13"/>
        <v>2.7465256153587774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21">
        <f>N28</f>
        <v>55.253474384641223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</row>
    <row r="29" spans="1:42" x14ac:dyDescent="0.3">
      <c r="A29" s="17">
        <v>2</v>
      </c>
      <c r="B29" s="17">
        <v>3</v>
      </c>
      <c r="C29" s="17">
        <f t="shared" si="2"/>
        <v>24</v>
      </c>
      <c r="D29" s="16">
        <f>1</f>
        <v>1</v>
      </c>
      <c r="E29" s="16">
        <f t="shared" si="3"/>
        <v>1</v>
      </c>
      <c r="F29" s="16">
        <f t="shared" si="4"/>
        <v>0</v>
      </c>
      <c r="G29" s="16">
        <f t="shared" si="5"/>
        <v>0</v>
      </c>
      <c r="H29" s="16">
        <f t="shared" si="6"/>
        <v>0</v>
      </c>
      <c r="I29" s="16">
        <f t="shared" si="7"/>
        <v>0</v>
      </c>
      <c r="J29" s="16">
        <f t="shared" si="8"/>
        <v>1</v>
      </c>
      <c r="K29" s="16">
        <f t="shared" si="9"/>
        <v>0</v>
      </c>
      <c r="L29" s="16">
        <f t="shared" si="10"/>
        <v>0</v>
      </c>
      <c r="M29" s="20">
        <f t="shared" si="11"/>
        <v>3.337967306043117</v>
      </c>
      <c r="N29" s="20">
        <f t="shared" si="12"/>
        <v>28.161824116129932</v>
      </c>
      <c r="O29" s="20">
        <f t="shared" si="13"/>
        <v>-4.1618241161299316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21">
        <f>N29</f>
        <v>28.161824116129932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</row>
    <row r="30" spans="1:42" x14ac:dyDescent="0.3">
      <c r="A30" s="17">
        <v>2</v>
      </c>
      <c r="B30" s="17">
        <v>4</v>
      </c>
      <c r="C30" s="17">
        <f t="shared" si="2"/>
        <v>13</v>
      </c>
      <c r="D30" s="16">
        <f>1</f>
        <v>1</v>
      </c>
      <c r="E30" s="16">
        <f t="shared" si="3"/>
        <v>1</v>
      </c>
      <c r="F30" s="16">
        <f t="shared" si="4"/>
        <v>0</v>
      </c>
      <c r="G30" s="16">
        <f t="shared" si="5"/>
        <v>0</v>
      </c>
      <c r="H30" s="16">
        <f t="shared" si="6"/>
        <v>0</v>
      </c>
      <c r="I30" s="16">
        <f t="shared" si="7"/>
        <v>0</v>
      </c>
      <c r="J30" s="16">
        <f t="shared" si="8"/>
        <v>0</v>
      </c>
      <c r="K30" s="16">
        <f t="shared" si="9"/>
        <v>1</v>
      </c>
      <c r="L30" s="16">
        <f t="shared" si="10"/>
        <v>0</v>
      </c>
      <c r="M30" s="20">
        <f t="shared" si="11"/>
        <v>2.2601384027467888</v>
      </c>
      <c r="N30" s="20">
        <f t="shared" si="12"/>
        <v>9.5844155844155861</v>
      </c>
      <c r="O30" s="20">
        <f t="shared" si="13"/>
        <v>3.4155844155844139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21">
        <f>N30</f>
        <v>9.5844155844155861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</row>
    <row r="31" spans="1:42" x14ac:dyDescent="0.3">
      <c r="A31" s="17">
        <v>3</v>
      </c>
      <c r="B31" s="17">
        <v>1</v>
      </c>
      <c r="C31" s="17">
        <f t="shared" si="2"/>
        <v>115</v>
      </c>
      <c r="D31" s="16">
        <f>1</f>
        <v>1</v>
      </c>
      <c r="E31" s="16">
        <f t="shared" si="3"/>
        <v>0</v>
      </c>
      <c r="F31" s="16">
        <f t="shared" si="4"/>
        <v>1</v>
      </c>
      <c r="G31" s="16">
        <f t="shared" si="5"/>
        <v>0</v>
      </c>
      <c r="H31" s="16">
        <f t="shared" si="6"/>
        <v>0</v>
      </c>
      <c r="I31" s="16">
        <f t="shared" si="7"/>
        <v>0</v>
      </c>
      <c r="J31" s="16">
        <f t="shared" si="8"/>
        <v>0</v>
      </c>
      <c r="K31" s="16">
        <f t="shared" si="9"/>
        <v>0</v>
      </c>
      <c r="L31" s="16">
        <f t="shared" si="10"/>
        <v>0</v>
      </c>
      <c r="M31" s="20">
        <f t="shared" si="11"/>
        <v>4.751640628598679</v>
      </c>
      <c r="N31" s="20">
        <f t="shared" si="12"/>
        <v>115.77407105197081</v>
      </c>
      <c r="O31" s="20">
        <f t="shared" si="13"/>
        <v>-0.77407105197080739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21">
        <f>N31</f>
        <v>115.77407105197081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</row>
    <row r="32" spans="1:42" x14ac:dyDescent="0.3">
      <c r="A32" s="17">
        <v>3</v>
      </c>
      <c r="B32" s="17">
        <v>2</v>
      </c>
      <c r="C32" s="17">
        <f t="shared" si="2"/>
        <v>54</v>
      </c>
      <c r="D32" s="16">
        <f>1</f>
        <v>1</v>
      </c>
      <c r="E32" s="16">
        <f t="shared" si="3"/>
        <v>0</v>
      </c>
      <c r="F32" s="16">
        <f t="shared" si="4"/>
        <v>1</v>
      </c>
      <c r="G32" s="16">
        <f t="shared" si="5"/>
        <v>0</v>
      </c>
      <c r="H32" s="16">
        <f t="shared" si="6"/>
        <v>0</v>
      </c>
      <c r="I32" s="16">
        <f t="shared" si="7"/>
        <v>1</v>
      </c>
      <c r="J32" s="16">
        <f t="shared" si="8"/>
        <v>0</v>
      </c>
      <c r="K32" s="16">
        <f t="shared" si="9"/>
        <v>0</v>
      </c>
      <c r="L32" s="16">
        <f t="shared" si="10"/>
        <v>0</v>
      </c>
      <c r="M32" s="20">
        <f t="shared" si="11"/>
        <v>4.0450704277065928</v>
      </c>
      <c r="N32" s="20">
        <f t="shared" si="12"/>
        <v>57.115208385638923</v>
      </c>
      <c r="O32" s="20">
        <f t="shared" si="13"/>
        <v>-3.1152083856389226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21">
        <f>N32</f>
        <v>57.115208385638923</v>
      </c>
      <c r="AM32" s="3">
        <v>0</v>
      </c>
      <c r="AN32" s="3">
        <v>0</v>
      </c>
      <c r="AO32" s="3">
        <v>0</v>
      </c>
      <c r="AP32" s="3">
        <v>0</v>
      </c>
    </row>
    <row r="33" spans="1:42" x14ac:dyDescent="0.3">
      <c r="A33" s="17">
        <v>3</v>
      </c>
      <c r="B33" s="17">
        <v>3</v>
      </c>
      <c r="C33" s="17">
        <f t="shared" si="2"/>
        <v>33</v>
      </c>
      <c r="D33" s="16">
        <f>1</f>
        <v>1</v>
      </c>
      <c r="E33" s="16">
        <f t="shared" si="3"/>
        <v>0</v>
      </c>
      <c r="F33" s="16">
        <f t="shared" si="4"/>
        <v>1</v>
      </c>
      <c r="G33" s="16">
        <f t="shared" si="5"/>
        <v>0</v>
      </c>
      <c r="H33" s="16">
        <f t="shared" si="6"/>
        <v>0</v>
      </c>
      <c r="I33" s="16">
        <f t="shared" si="7"/>
        <v>0</v>
      </c>
      <c r="J33" s="16">
        <f t="shared" si="8"/>
        <v>1</v>
      </c>
      <c r="K33" s="16">
        <f t="shared" si="9"/>
        <v>0</v>
      </c>
      <c r="L33" s="16">
        <f t="shared" si="10"/>
        <v>0</v>
      </c>
      <c r="M33" s="20">
        <f t="shared" si="11"/>
        <v>3.3711065105391267</v>
      </c>
      <c r="N33" s="20">
        <f t="shared" si="12"/>
        <v>29.110720562390149</v>
      </c>
      <c r="O33" s="20">
        <f t="shared" si="13"/>
        <v>3.8892794376098507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21">
        <f>N33</f>
        <v>29.110720562390149</v>
      </c>
      <c r="AN33" s="3">
        <v>0</v>
      </c>
      <c r="AO33" s="3">
        <v>0</v>
      </c>
      <c r="AP33" s="3">
        <v>0</v>
      </c>
    </row>
    <row r="34" spans="1:42" x14ac:dyDescent="0.3">
      <c r="A34" s="17">
        <v>4</v>
      </c>
      <c r="B34" s="17">
        <v>1</v>
      </c>
      <c r="C34" s="17">
        <f t="shared" si="2"/>
        <v>125</v>
      </c>
      <c r="D34" s="16">
        <f>1</f>
        <v>1</v>
      </c>
      <c r="E34" s="16">
        <f t="shared" si="3"/>
        <v>0</v>
      </c>
      <c r="F34" s="16">
        <f t="shared" si="4"/>
        <v>0</v>
      </c>
      <c r="G34" s="16">
        <f t="shared" si="5"/>
        <v>1</v>
      </c>
      <c r="H34" s="16">
        <f t="shared" si="6"/>
        <v>0</v>
      </c>
      <c r="I34" s="16">
        <f t="shared" si="7"/>
        <v>0</v>
      </c>
      <c r="J34" s="16">
        <f t="shared" si="8"/>
        <v>0</v>
      </c>
      <c r="K34" s="16">
        <f t="shared" si="9"/>
        <v>0</v>
      </c>
      <c r="L34" s="16">
        <f t="shared" si="10"/>
        <v>0</v>
      </c>
      <c r="M34" s="20">
        <f t="shared" si="11"/>
        <v>4.8193450673195413</v>
      </c>
      <c r="N34" s="20">
        <f t="shared" si="12"/>
        <v>123.88392857142864</v>
      </c>
      <c r="O34" s="20">
        <f t="shared" si="13"/>
        <v>1.1160714285713595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21">
        <f>N34</f>
        <v>123.88392857142864</v>
      </c>
      <c r="AO34" s="3">
        <v>0</v>
      </c>
      <c r="AP34" s="3">
        <v>0</v>
      </c>
    </row>
    <row r="35" spans="1:42" x14ac:dyDescent="0.3">
      <c r="A35" s="17">
        <v>4</v>
      </c>
      <c r="B35" s="17">
        <v>2</v>
      </c>
      <c r="C35" s="17">
        <f t="shared" si="2"/>
        <v>60</v>
      </c>
      <c r="D35" s="16">
        <f>1</f>
        <v>1</v>
      </c>
      <c r="E35" s="16">
        <f t="shared" si="3"/>
        <v>0</v>
      </c>
      <c r="F35" s="16">
        <f t="shared" si="4"/>
        <v>0</v>
      </c>
      <c r="G35" s="16">
        <f t="shared" si="5"/>
        <v>1</v>
      </c>
      <c r="H35" s="16">
        <f t="shared" si="6"/>
        <v>0</v>
      </c>
      <c r="I35" s="16">
        <f t="shared" si="7"/>
        <v>1</v>
      </c>
      <c r="J35" s="16">
        <f t="shared" si="8"/>
        <v>0</v>
      </c>
      <c r="K35" s="16">
        <f t="shared" si="9"/>
        <v>0</v>
      </c>
      <c r="L35" s="16">
        <f t="shared" si="10"/>
        <v>0</v>
      </c>
      <c r="M35" s="20">
        <f t="shared" si="11"/>
        <v>4.112774866427455</v>
      </c>
      <c r="N35" s="20">
        <f t="shared" si="12"/>
        <v>61.116071428571452</v>
      </c>
      <c r="O35" s="20">
        <f t="shared" si="13"/>
        <v>-1.1160714285714519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21">
        <f>N35</f>
        <v>61.116071428571452</v>
      </c>
      <c r="AP35" s="3">
        <v>0</v>
      </c>
    </row>
    <row r="36" spans="1:42" x14ac:dyDescent="0.3">
      <c r="A36" s="17">
        <v>5</v>
      </c>
      <c r="B36" s="17">
        <v>1</v>
      </c>
      <c r="C36" s="17">
        <f t="shared" si="2"/>
        <v>150</v>
      </c>
      <c r="D36" s="16">
        <f>1</f>
        <v>1</v>
      </c>
      <c r="E36" s="16">
        <f t="shared" si="3"/>
        <v>0</v>
      </c>
      <c r="F36" s="16">
        <f t="shared" si="4"/>
        <v>0</v>
      </c>
      <c r="G36" s="16">
        <f t="shared" si="5"/>
        <v>0</v>
      </c>
      <c r="H36" s="16">
        <f t="shared" si="6"/>
        <v>1</v>
      </c>
      <c r="I36" s="16">
        <f t="shared" si="7"/>
        <v>0</v>
      </c>
      <c r="J36" s="16">
        <f t="shared" si="8"/>
        <v>0</v>
      </c>
      <c r="K36" s="16">
        <f t="shared" si="9"/>
        <v>0</v>
      </c>
      <c r="L36" s="16">
        <f t="shared" si="10"/>
        <v>0</v>
      </c>
      <c r="M36" s="20">
        <f t="shared" si="11"/>
        <v>5.0106352940962555</v>
      </c>
      <c r="N36" s="20">
        <f t="shared" si="12"/>
        <v>149.99999999999997</v>
      </c>
      <c r="O36" s="20">
        <f t="shared" si="13"/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21">
        <f>N36</f>
        <v>149.99999999999997</v>
      </c>
    </row>
    <row r="37" spans="1:42" x14ac:dyDescent="0.3">
      <c r="A37" s="2"/>
    </row>
    <row r="38" spans="1:42" x14ac:dyDescent="0.3">
      <c r="A38" s="2"/>
    </row>
    <row r="39" spans="1:42" x14ac:dyDescent="0.3">
      <c r="A39" s="1" t="s">
        <v>34</v>
      </c>
      <c r="D39" s="1" t="s">
        <v>56</v>
      </c>
      <c r="G39" s="1" t="s">
        <v>57</v>
      </c>
      <c r="R39" s="1" t="s">
        <v>58</v>
      </c>
    </row>
    <row r="40" spans="1:42" x14ac:dyDescent="0.3">
      <c r="A40" s="2"/>
      <c r="H40" s="19">
        <v>0</v>
      </c>
      <c r="I40" s="19">
        <v>1</v>
      </c>
      <c r="J40" s="19">
        <v>2</v>
      </c>
      <c r="K40" s="19">
        <v>3</v>
      </c>
      <c r="L40" s="19">
        <v>4</v>
      </c>
      <c r="M40" s="19">
        <v>5</v>
      </c>
      <c r="N40" s="19">
        <v>6</v>
      </c>
      <c r="O40" s="19">
        <v>7</v>
      </c>
      <c r="P40" s="19">
        <v>8</v>
      </c>
    </row>
    <row r="41" spans="1:42" x14ac:dyDescent="0.3">
      <c r="A41" s="19" t="s">
        <v>35</v>
      </c>
      <c r="B41" s="4">
        <v>4.5884482958544712</v>
      </c>
      <c r="D41" s="19" t="s">
        <v>46</v>
      </c>
      <c r="E41" s="3">
        <f t="array" ref="E41:E49">MMULT(TRANSPOSE(D22:L36),O22:O36)</f>
        <v>-4.2632564145606011E-14</v>
      </c>
      <c r="G41" s="19">
        <v>0</v>
      </c>
      <c r="H41" s="3">
        <f t="array" ref="H41:P49">MMULT(MMULT(TRANSPOSE(D22:L36),AB22:AP36),D22:L36)</f>
        <v>942.00000000000011</v>
      </c>
      <c r="I41" s="3">
        <v>205.00000000000006</v>
      </c>
      <c r="J41" s="3">
        <v>201.99999999999989</v>
      </c>
      <c r="K41" s="3">
        <v>185.00000000000009</v>
      </c>
      <c r="L41" s="3">
        <v>149.99999999999997</v>
      </c>
      <c r="M41" s="3">
        <v>222</v>
      </c>
      <c r="N41" s="3">
        <v>82.000000000000014</v>
      </c>
      <c r="O41" s="3">
        <v>18</v>
      </c>
      <c r="P41" s="3">
        <v>20.000000000000025</v>
      </c>
      <c r="R41" s="19" t="s">
        <v>35</v>
      </c>
      <c r="S41" s="3">
        <f t="array" ref="S41:S49">MMULT(MINVERSE(H41:P49),E41:E49)+B41:B49</f>
        <v>4.5884482958544712</v>
      </c>
    </row>
    <row r="42" spans="1:42" x14ac:dyDescent="0.3">
      <c r="A42" s="19" t="s">
        <v>36</v>
      </c>
      <c r="B42" s="4">
        <v>0.13005312824819798</v>
      </c>
      <c r="D42" s="19" t="s">
        <v>47</v>
      </c>
      <c r="E42" s="3">
        <v>-4.4408920985006262E-14</v>
      </c>
      <c r="G42" s="19">
        <v>1</v>
      </c>
      <c r="H42" s="3">
        <v>205.00000000000006</v>
      </c>
      <c r="I42" s="3">
        <v>205.00000000000006</v>
      </c>
      <c r="J42" s="3">
        <v>0</v>
      </c>
      <c r="K42" s="3">
        <v>0</v>
      </c>
      <c r="L42" s="3">
        <v>0</v>
      </c>
      <c r="M42" s="3">
        <v>55.253474384641223</v>
      </c>
      <c r="N42" s="3">
        <v>28.161824116129932</v>
      </c>
      <c r="O42" s="3">
        <v>9.5844155844155861</v>
      </c>
      <c r="P42" s="3">
        <v>0</v>
      </c>
      <c r="R42" s="19" t="s">
        <v>36</v>
      </c>
      <c r="S42" s="3">
        <v>0.13005312824819792</v>
      </c>
    </row>
    <row r="43" spans="1:42" x14ac:dyDescent="0.3">
      <c r="A43" s="19" t="s">
        <v>37</v>
      </c>
      <c r="B43" s="4">
        <v>0.16319233274420789</v>
      </c>
      <c r="D43" s="19" t="s">
        <v>48</v>
      </c>
      <c r="E43" s="3">
        <v>1.2079226507921703E-13</v>
      </c>
      <c r="G43" s="19">
        <v>2</v>
      </c>
      <c r="H43" s="3">
        <v>201.99999999999989</v>
      </c>
      <c r="I43" s="3">
        <v>0</v>
      </c>
      <c r="J43" s="3">
        <v>201.99999999999989</v>
      </c>
      <c r="K43" s="3">
        <v>0</v>
      </c>
      <c r="L43" s="3">
        <v>0</v>
      </c>
      <c r="M43" s="3">
        <v>57.115208385638923</v>
      </c>
      <c r="N43" s="3">
        <v>29.110720562390149</v>
      </c>
      <c r="O43" s="3">
        <v>0</v>
      </c>
      <c r="P43" s="3">
        <v>0</v>
      </c>
      <c r="R43" s="19" t="s">
        <v>37</v>
      </c>
      <c r="S43" s="3">
        <v>0.16319233274420863</v>
      </c>
    </row>
    <row r="44" spans="1:42" x14ac:dyDescent="0.3">
      <c r="A44" s="19" t="s">
        <v>38</v>
      </c>
      <c r="B44" s="4">
        <v>0.23089677146506984</v>
      </c>
      <c r="D44" s="19" t="s">
        <v>49</v>
      </c>
      <c r="E44" s="3">
        <v>-9.2370555648813024E-14</v>
      </c>
      <c r="G44" s="19">
        <v>3</v>
      </c>
      <c r="H44" s="3">
        <v>185.00000000000009</v>
      </c>
      <c r="I44" s="3">
        <v>0</v>
      </c>
      <c r="J44" s="3">
        <v>0</v>
      </c>
      <c r="K44" s="3">
        <v>185.00000000000009</v>
      </c>
      <c r="L44" s="3">
        <v>0</v>
      </c>
      <c r="M44" s="3">
        <v>61.116071428571452</v>
      </c>
      <c r="N44" s="3">
        <v>0</v>
      </c>
      <c r="O44" s="3">
        <v>0</v>
      </c>
      <c r="P44" s="3">
        <v>0</v>
      </c>
      <c r="R44" s="19" t="s">
        <v>38</v>
      </c>
      <c r="S44" s="3">
        <v>0.23089677146506946</v>
      </c>
    </row>
    <row r="45" spans="1:42" x14ac:dyDescent="0.3">
      <c r="A45" s="19" t="s">
        <v>39</v>
      </c>
      <c r="B45" s="4">
        <v>0.42218699824178424</v>
      </c>
      <c r="D45" s="19" t="s">
        <v>50</v>
      </c>
      <c r="E45" s="3">
        <v>0</v>
      </c>
      <c r="G45" s="19">
        <v>4</v>
      </c>
      <c r="H45" s="3">
        <v>149.99999999999997</v>
      </c>
      <c r="I45" s="3">
        <v>0</v>
      </c>
      <c r="J45" s="3">
        <v>0</v>
      </c>
      <c r="K45" s="3">
        <v>0</v>
      </c>
      <c r="L45" s="3">
        <v>149.99999999999997</v>
      </c>
      <c r="M45" s="3">
        <v>0</v>
      </c>
      <c r="N45" s="3">
        <v>0</v>
      </c>
      <c r="O45" s="3">
        <v>0</v>
      </c>
      <c r="P45" s="3">
        <v>0</v>
      </c>
      <c r="R45" s="19" t="s">
        <v>39</v>
      </c>
      <c r="S45" s="3">
        <v>0.42218699824178435</v>
      </c>
    </row>
    <row r="46" spans="1:42" x14ac:dyDescent="0.3">
      <c r="A46" s="19" t="s">
        <v>40</v>
      </c>
      <c r="B46" s="4">
        <v>-0.70657020089208589</v>
      </c>
      <c r="D46" s="19" t="s">
        <v>51</v>
      </c>
      <c r="E46" s="3">
        <v>0</v>
      </c>
      <c r="G46" s="19">
        <v>5</v>
      </c>
      <c r="H46" s="3">
        <v>222</v>
      </c>
      <c r="I46" s="3">
        <v>55.253474384641223</v>
      </c>
      <c r="J46" s="3">
        <v>57.115208385638923</v>
      </c>
      <c r="K46" s="3">
        <v>61.116071428571452</v>
      </c>
      <c r="L46" s="3">
        <v>0</v>
      </c>
      <c r="M46" s="3">
        <v>222</v>
      </c>
      <c r="N46" s="3">
        <v>0</v>
      </c>
      <c r="O46" s="3">
        <v>0</v>
      </c>
      <c r="P46" s="3">
        <v>0</v>
      </c>
      <c r="R46" s="19" t="s">
        <v>40</v>
      </c>
      <c r="S46" s="3">
        <v>-0.70657020089208578</v>
      </c>
    </row>
    <row r="47" spans="1:42" x14ac:dyDescent="0.3">
      <c r="A47" s="19" t="s">
        <v>41</v>
      </c>
      <c r="B47" s="4">
        <v>-1.3805341180595525</v>
      </c>
      <c r="D47" s="19" t="s">
        <v>52</v>
      </c>
      <c r="E47" s="3">
        <v>-1.4210854715202004E-14</v>
      </c>
      <c r="G47" s="19">
        <v>6</v>
      </c>
      <c r="H47" s="3">
        <v>82.000000000000014</v>
      </c>
      <c r="I47" s="3">
        <v>28.161824116129932</v>
      </c>
      <c r="J47" s="3">
        <v>29.110720562390149</v>
      </c>
      <c r="K47" s="3">
        <v>0</v>
      </c>
      <c r="L47" s="3">
        <v>0</v>
      </c>
      <c r="M47" s="3">
        <v>0</v>
      </c>
      <c r="N47" s="3">
        <v>82.000000000000014</v>
      </c>
      <c r="O47" s="3">
        <v>0</v>
      </c>
      <c r="P47" s="3">
        <v>0</v>
      </c>
      <c r="R47" s="19" t="s">
        <v>41</v>
      </c>
      <c r="S47" s="3">
        <v>-1.3805341180595527</v>
      </c>
    </row>
    <row r="48" spans="1:42" x14ac:dyDescent="0.3">
      <c r="A48" s="19" t="s">
        <v>42</v>
      </c>
      <c r="B48" s="4">
        <v>-2.4583630213558805</v>
      </c>
      <c r="D48" s="19" t="s">
        <v>53</v>
      </c>
      <c r="E48" s="3">
        <v>0</v>
      </c>
      <c r="G48" s="19">
        <v>7</v>
      </c>
      <c r="H48" s="3">
        <v>18</v>
      </c>
      <c r="I48" s="3">
        <v>9.5844155844155861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18</v>
      </c>
      <c r="P48" s="3">
        <v>0</v>
      </c>
      <c r="R48" s="19" t="s">
        <v>42</v>
      </c>
      <c r="S48" s="3">
        <v>-2.4583630213558805</v>
      </c>
    </row>
    <row r="49" spans="1:19" x14ac:dyDescent="0.3">
      <c r="A49" s="19" t="s">
        <v>43</v>
      </c>
      <c r="B49" s="4">
        <v>-1.5927160223004793</v>
      </c>
      <c r="D49" s="19" t="s">
        <v>54</v>
      </c>
      <c r="E49" s="3">
        <v>0</v>
      </c>
      <c r="G49" s="19">
        <v>8</v>
      </c>
      <c r="H49" s="3">
        <v>20.000000000000025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20.000000000000025</v>
      </c>
      <c r="R49" s="19" t="s">
        <v>43</v>
      </c>
      <c r="S49" s="3">
        <v>-1.592716022300479</v>
      </c>
    </row>
    <row r="50" spans="1:19" x14ac:dyDescent="0.3">
      <c r="A50" s="2"/>
    </row>
    <row r="51" spans="1:19" x14ac:dyDescent="0.3">
      <c r="A51" s="1" t="s">
        <v>59</v>
      </c>
    </row>
    <row r="52" spans="1:19" x14ac:dyDescent="0.3">
      <c r="C52" s="18" t="s">
        <v>24</v>
      </c>
    </row>
    <row r="53" spans="1:19" x14ac:dyDescent="0.3">
      <c r="A53" s="2" t="s">
        <v>21</v>
      </c>
      <c r="B53" s="2" t="s">
        <v>22</v>
      </c>
      <c r="C53" s="2" t="s">
        <v>33</v>
      </c>
      <c r="D53" s="2" t="s">
        <v>25</v>
      </c>
      <c r="E53" s="2" t="s">
        <v>26</v>
      </c>
      <c r="F53" s="2" t="s">
        <v>27</v>
      </c>
      <c r="G53" s="2" t="s">
        <v>28</v>
      </c>
      <c r="H53" s="2" t="s">
        <v>29</v>
      </c>
      <c r="I53" s="2" t="s">
        <v>30</v>
      </c>
      <c r="J53" s="2" t="s">
        <v>31</v>
      </c>
      <c r="K53" s="2" t="s">
        <v>32</v>
      </c>
      <c r="L53" s="2" t="s">
        <v>44</v>
      </c>
      <c r="M53" s="2" t="s">
        <v>45</v>
      </c>
    </row>
    <row r="54" spans="1:19" x14ac:dyDescent="0.3">
      <c r="A54" s="17">
        <v>5</v>
      </c>
      <c r="B54" s="17">
        <v>2</v>
      </c>
      <c r="C54" s="16">
        <f>1</f>
        <v>1</v>
      </c>
      <c r="D54" s="16">
        <f t="shared" ref="D54:D63" si="14">IF(A54=2,1,0)</f>
        <v>0</v>
      </c>
      <c r="E54" s="16">
        <f t="shared" ref="E54:E63" si="15">IF(A54=3,1,0)</f>
        <v>0</v>
      </c>
      <c r="F54" s="16">
        <f t="shared" ref="F54:F63" si="16">IF(A54=4,1,0)</f>
        <v>0</v>
      </c>
      <c r="G54" s="16">
        <f t="shared" ref="G54:G63" si="17">IF(A54=5,1,0)</f>
        <v>1</v>
      </c>
      <c r="H54" s="16">
        <f t="shared" ref="H54:H63" si="18">IF(B54=2,1,0)</f>
        <v>1</v>
      </c>
      <c r="I54" s="16">
        <f t="shared" ref="I54:I63" si="19">IF(B54=3,1,0)</f>
        <v>0</v>
      </c>
      <c r="J54" s="16">
        <f t="shared" ref="J54:J63" si="20">IF(B54=4,1,0)</f>
        <v>0</v>
      </c>
      <c r="K54" s="16">
        <f t="shared" ref="K54:K63" si="21">IF(B54=5,1,0)</f>
        <v>0</v>
      </c>
      <c r="L54" s="20">
        <f>MMULT(C54:K54,$B$41:$B$49)</f>
        <v>4.3040650932041693</v>
      </c>
      <c r="M54" s="20">
        <f>EXP(L54)</f>
        <v>73.999999999999972</v>
      </c>
    </row>
    <row r="55" spans="1:19" x14ac:dyDescent="0.3">
      <c r="A55" s="17">
        <v>4</v>
      </c>
      <c r="B55" s="17">
        <v>3</v>
      </c>
      <c r="C55" s="16">
        <f>1</f>
        <v>1</v>
      </c>
      <c r="D55" s="16">
        <f t="shared" si="14"/>
        <v>0</v>
      </c>
      <c r="E55" s="16">
        <f t="shared" si="15"/>
        <v>0</v>
      </c>
      <c r="F55" s="16">
        <f t="shared" si="16"/>
        <v>1</v>
      </c>
      <c r="G55" s="16">
        <f t="shared" si="17"/>
        <v>0</v>
      </c>
      <c r="H55" s="16">
        <f t="shared" si="18"/>
        <v>0</v>
      </c>
      <c r="I55" s="16">
        <f t="shared" si="19"/>
        <v>1</v>
      </c>
      <c r="J55" s="16">
        <f t="shared" si="20"/>
        <v>0</v>
      </c>
      <c r="K55" s="16">
        <f t="shared" si="21"/>
        <v>0</v>
      </c>
      <c r="L55" s="20">
        <f t="shared" ref="L55:L63" si="22">MMULT(C55:K55,$B$41:$B$49)</f>
        <v>3.438810949259989</v>
      </c>
      <c r="M55" s="20">
        <f t="shared" ref="M55:M63" si="23">EXP(L55)</f>
        <v>31.149897330595508</v>
      </c>
    </row>
    <row r="56" spans="1:19" x14ac:dyDescent="0.3">
      <c r="A56" s="17">
        <v>5</v>
      </c>
      <c r="B56" s="17">
        <v>3</v>
      </c>
      <c r="C56" s="16">
        <f>1</f>
        <v>1</v>
      </c>
      <c r="D56" s="16">
        <f t="shared" si="14"/>
        <v>0</v>
      </c>
      <c r="E56" s="16">
        <f t="shared" si="15"/>
        <v>0</v>
      </c>
      <c r="F56" s="16">
        <f t="shared" si="16"/>
        <v>0</v>
      </c>
      <c r="G56" s="16">
        <f t="shared" si="17"/>
        <v>1</v>
      </c>
      <c r="H56" s="16">
        <f t="shared" si="18"/>
        <v>0</v>
      </c>
      <c r="I56" s="16">
        <f t="shared" si="19"/>
        <v>1</v>
      </c>
      <c r="J56" s="16">
        <f t="shared" si="20"/>
        <v>0</v>
      </c>
      <c r="K56" s="16">
        <f t="shared" si="21"/>
        <v>0</v>
      </c>
      <c r="L56" s="20">
        <f t="shared" si="22"/>
        <v>3.6301011760367032</v>
      </c>
      <c r="M56" s="20">
        <f t="shared" si="23"/>
        <v>37.716632443531829</v>
      </c>
    </row>
    <row r="57" spans="1:19" x14ac:dyDescent="0.3">
      <c r="A57" s="17">
        <v>3</v>
      </c>
      <c r="B57" s="17">
        <v>4</v>
      </c>
      <c r="C57" s="16">
        <f>1</f>
        <v>1</v>
      </c>
      <c r="D57" s="16">
        <f t="shared" si="14"/>
        <v>0</v>
      </c>
      <c r="E57" s="16">
        <f t="shared" si="15"/>
        <v>1</v>
      </c>
      <c r="F57" s="16">
        <f t="shared" si="16"/>
        <v>0</v>
      </c>
      <c r="G57" s="16">
        <f t="shared" si="17"/>
        <v>0</v>
      </c>
      <c r="H57" s="16">
        <f t="shared" si="18"/>
        <v>0</v>
      </c>
      <c r="I57" s="16">
        <f t="shared" si="19"/>
        <v>0</v>
      </c>
      <c r="J57" s="16">
        <f t="shared" si="20"/>
        <v>1</v>
      </c>
      <c r="K57" s="16">
        <f t="shared" si="21"/>
        <v>0</v>
      </c>
      <c r="L57" s="20">
        <f t="shared" si="22"/>
        <v>2.2932776072427985</v>
      </c>
      <c r="M57" s="20">
        <f t="shared" si="23"/>
        <v>9.9073569482288768</v>
      </c>
    </row>
    <row r="58" spans="1:19" x14ac:dyDescent="0.3">
      <c r="A58" s="17">
        <v>4</v>
      </c>
      <c r="B58" s="17">
        <v>4</v>
      </c>
      <c r="C58" s="16">
        <f>1</f>
        <v>1</v>
      </c>
      <c r="D58" s="16">
        <f t="shared" si="14"/>
        <v>0</v>
      </c>
      <c r="E58" s="16">
        <f t="shared" si="15"/>
        <v>0</v>
      </c>
      <c r="F58" s="16">
        <f t="shared" si="16"/>
        <v>1</v>
      </c>
      <c r="G58" s="16">
        <f t="shared" si="17"/>
        <v>0</v>
      </c>
      <c r="H58" s="16">
        <f t="shared" si="18"/>
        <v>0</v>
      </c>
      <c r="I58" s="16">
        <f t="shared" si="19"/>
        <v>0</v>
      </c>
      <c r="J58" s="16">
        <f t="shared" si="20"/>
        <v>1</v>
      </c>
      <c r="K58" s="16">
        <f t="shared" si="21"/>
        <v>0</v>
      </c>
      <c r="L58" s="20">
        <f t="shared" si="22"/>
        <v>2.3609820459636608</v>
      </c>
      <c r="M58" s="20">
        <f t="shared" si="23"/>
        <v>10.601357362263544</v>
      </c>
    </row>
    <row r="59" spans="1:19" x14ac:dyDescent="0.3">
      <c r="A59" s="17">
        <v>5</v>
      </c>
      <c r="B59" s="17">
        <v>4</v>
      </c>
      <c r="C59" s="16">
        <f>1</f>
        <v>1</v>
      </c>
      <c r="D59" s="16">
        <f t="shared" si="14"/>
        <v>0</v>
      </c>
      <c r="E59" s="16">
        <f t="shared" si="15"/>
        <v>0</v>
      </c>
      <c r="F59" s="16">
        <f t="shared" si="16"/>
        <v>0</v>
      </c>
      <c r="G59" s="16">
        <f t="shared" si="17"/>
        <v>1</v>
      </c>
      <c r="H59" s="16">
        <f t="shared" si="18"/>
        <v>0</v>
      </c>
      <c r="I59" s="16">
        <f t="shared" si="19"/>
        <v>0</v>
      </c>
      <c r="J59" s="16">
        <f t="shared" si="20"/>
        <v>1</v>
      </c>
      <c r="K59" s="16">
        <f t="shared" si="21"/>
        <v>0</v>
      </c>
      <c r="L59" s="20">
        <f t="shared" si="22"/>
        <v>2.552272272740375</v>
      </c>
      <c r="M59" s="20">
        <f t="shared" si="23"/>
        <v>12.83623810349747</v>
      </c>
    </row>
    <row r="60" spans="1:19" x14ac:dyDescent="0.3">
      <c r="A60" s="17">
        <v>2</v>
      </c>
      <c r="B60" s="17">
        <v>5</v>
      </c>
      <c r="C60" s="16">
        <f>1</f>
        <v>1</v>
      </c>
      <c r="D60" s="16">
        <f t="shared" si="14"/>
        <v>1</v>
      </c>
      <c r="E60" s="16">
        <f t="shared" si="15"/>
        <v>0</v>
      </c>
      <c r="F60" s="16">
        <f t="shared" si="16"/>
        <v>0</v>
      </c>
      <c r="G60" s="16">
        <f t="shared" si="17"/>
        <v>0</v>
      </c>
      <c r="H60" s="16">
        <f t="shared" si="18"/>
        <v>0</v>
      </c>
      <c r="I60" s="16">
        <f t="shared" si="19"/>
        <v>0</v>
      </c>
      <c r="J60" s="16">
        <f t="shared" si="20"/>
        <v>0</v>
      </c>
      <c r="K60" s="16">
        <f t="shared" si="21"/>
        <v>1</v>
      </c>
      <c r="L60" s="20">
        <f t="shared" si="22"/>
        <v>3.1257854018021902</v>
      </c>
      <c r="M60" s="20">
        <f t="shared" si="23"/>
        <v>22.777777777777811</v>
      </c>
    </row>
    <row r="61" spans="1:19" x14ac:dyDescent="0.3">
      <c r="A61" s="17">
        <v>3</v>
      </c>
      <c r="B61" s="17">
        <v>5</v>
      </c>
      <c r="C61" s="16">
        <f>1</f>
        <v>1</v>
      </c>
      <c r="D61" s="16">
        <f t="shared" si="14"/>
        <v>0</v>
      </c>
      <c r="E61" s="16">
        <f t="shared" si="15"/>
        <v>1</v>
      </c>
      <c r="F61" s="16">
        <f t="shared" si="16"/>
        <v>0</v>
      </c>
      <c r="G61" s="16">
        <f t="shared" si="17"/>
        <v>0</v>
      </c>
      <c r="H61" s="16">
        <f t="shared" si="18"/>
        <v>0</v>
      </c>
      <c r="I61" s="16">
        <f t="shared" si="19"/>
        <v>0</v>
      </c>
      <c r="J61" s="16">
        <f t="shared" si="20"/>
        <v>0</v>
      </c>
      <c r="K61" s="16">
        <f t="shared" si="21"/>
        <v>1</v>
      </c>
      <c r="L61" s="20">
        <f t="shared" si="22"/>
        <v>3.1589246062981999</v>
      </c>
      <c r="M61" s="20">
        <f t="shared" si="23"/>
        <v>23.545261883136558</v>
      </c>
    </row>
    <row r="62" spans="1:19" x14ac:dyDescent="0.3">
      <c r="A62" s="17">
        <v>4</v>
      </c>
      <c r="B62" s="17">
        <v>5</v>
      </c>
      <c r="C62" s="16">
        <f>1</f>
        <v>1</v>
      </c>
      <c r="D62" s="16">
        <f t="shared" si="14"/>
        <v>0</v>
      </c>
      <c r="E62" s="16">
        <f t="shared" si="15"/>
        <v>0</v>
      </c>
      <c r="F62" s="16">
        <f t="shared" si="16"/>
        <v>1</v>
      </c>
      <c r="G62" s="16">
        <f t="shared" si="17"/>
        <v>0</v>
      </c>
      <c r="H62" s="16">
        <f t="shared" si="18"/>
        <v>0</v>
      </c>
      <c r="I62" s="16">
        <f t="shared" si="19"/>
        <v>0</v>
      </c>
      <c r="J62" s="16">
        <f t="shared" si="20"/>
        <v>0</v>
      </c>
      <c r="K62" s="16">
        <f t="shared" si="21"/>
        <v>1</v>
      </c>
      <c r="L62" s="20">
        <f t="shared" si="22"/>
        <v>3.2266290450190622</v>
      </c>
      <c r="M62" s="20">
        <f t="shared" si="23"/>
        <v>25.194583854762158</v>
      </c>
    </row>
    <row r="63" spans="1:19" x14ac:dyDescent="0.3">
      <c r="A63" s="17">
        <v>5</v>
      </c>
      <c r="B63" s="17">
        <v>5</v>
      </c>
      <c r="C63" s="16">
        <f>1</f>
        <v>1</v>
      </c>
      <c r="D63" s="16">
        <f t="shared" si="14"/>
        <v>0</v>
      </c>
      <c r="E63" s="16">
        <f t="shared" si="15"/>
        <v>0</v>
      </c>
      <c r="F63" s="16">
        <f t="shared" si="16"/>
        <v>0</v>
      </c>
      <c r="G63" s="16">
        <f t="shared" si="17"/>
        <v>1</v>
      </c>
      <c r="H63" s="16">
        <f t="shared" si="18"/>
        <v>0</v>
      </c>
      <c r="I63" s="16">
        <f t="shared" si="19"/>
        <v>0</v>
      </c>
      <c r="J63" s="16">
        <f t="shared" si="20"/>
        <v>0</v>
      </c>
      <c r="K63" s="16">
        <f t="shared" si="21"/>
        <v>1</v>
      </c>
      <c r="L63" s="20">
        <f t="shared" si="22"/>
        <v>3.4179192717957765</v>
      </c>
      <c r="M63" s="20">
        <f t="shared" si="23"/>
        <v>30.505874505225506</v>
      </c>
    </row>
    <row r="64" spans="1:19" x14ac:dyDescent="0.3">
      <c r="A64" s="17"/>
      <c r="B64" s="17"/>
      <c r="C64" s="16"/>
      <c r="D64" s="16" t="s">
        <v>66</v>
      </c>
      <c r="E64" s="16" t="s">
        <v>67</v>
      </c>
      <c r="F64" s="16"/>
      <c r="G64" s="16"/>
      <c r="H64" s="16"/>
      <c r="I64" s="16"/>
      <c r="J64" s="16"/>
      <c r="K64" s="16"/>
      <c r="L64" s="20"/>
      <c r="M64" s="20"/>
    </row>
    <row r="65" spans="1:16" x14ac:dyDescent="0.3">
      <c r="A65" s="1" t="s">
        <v>61</v>
      </c>
      <c r="C65" s="23">
        <f>SUM(M54:M63)</f>
        <v>278.23498020901923</v>
      </c>
      <c r="D65" s="22">
        <f>SUMPRODUCT(H41:P49,H72:P80)/2</f>
        <v>4.5</v>
      </c>
      <c r="E65" s="24">
        <f>C65+D65</f>
        <v>282.73498020901923</v>
      </c>
      <c r="F65" s="16"/>
      <c r="G65" s="16"/>
      <c r="H65" s="16"/>
      <c r="I65" s="16"/>
      <c r="J65" s="16"/>
      <c r="K65" s="16"/>
      <c r="L65" s="20"/>
      <c r="M65" s="20"/>
    </row>
    <row r="66" spans="1:16" x14ac:dyDescent="0.3">
      <c r="A66" s="1" t="s">
        <v>63</v>
      </c>
      <c r="C66" s="22">
        <f t="array" ref="C66">MMULT(MMULT(TRANSPOSE(B72:B80),H72:P80),B72:B80)</f>
        <v>1010.9808056220249</v>
      </c>
      <c r="E66" s="2"/>
      <c r="F66" s="16"/>
      <c r="G66" s="16"/>
      <c r="H66" s="16"/>
      <c r="I66" s="16"/>
      <c r="J66" s="16"/>
      <c r="K66" s="16"/>
      <c r="L66" s="20"/>
      <c r="M66" s="20"/>
    </row>
    <row r="67" spans="1:16" x14ac:dyDescent="0.3">
      <c r="A67" s="1" t="s">
        <v>64</v>
      </c>
      <c r="C67" s="3">
        <f>E65-1.96*SQRT(C66)</f>
        <v>220.4149684721977</v>
      </c>
      <c r="D67" s="16"/>
      <c r="E67" s="16"/>
      <c r="F67" s="16"/>
      <c r="G67" s="16"/>
      <c r="H67" s="16"/>
      <c r="I67" s="16"/>
      <c r="J67" s="16"/>
      <c r="K67" s="16"/>
      <c r="L67" s="20"/>
      <c r="M67" s="20"/>
    </row>
    <row r="68" spans="1:16" x14ac:dyDescent="0.3">
      <c r="A68" s="1" t="s">
        <v>65</v>
      </c>
      <c r="C68" s="3">
        <f>E65+1.96*SQRT(C66)</f>
        <v>345.05499194584075</v>
      </c>
      <c r="D68" s="16"/>
      <c r="E68" s="16"/>
      <c r="F68" s="16"/>
      <c r="G68" s="16"/>
      <c r="H68" s="16"/>
      <c r="I68" s="16"/>
      <c r="J68" s="16"/>
      <c r="K68" s="16"/>
      <c r="L68" s="20"/>
      <c r="M68" s="20"/>
    </row>
    <row r="69" spans="1:16" x14ac:dyDescent="0.3">
      <c r="D69" s="16"/>
      <c r="E69" s="16"/>
      <c r="F69" s="16"/>
      <c r="G69" s="16"/>
      <c r="H69" s="16"/>
      <c r="I69" s="16"/>
      <c r="J69" s="16"/>
      <c r="K69" s="16"/>
      <c r="L69" s="20"/>
      <c r="M69" s="20"/>
    </row>
    <row r="70" spans="1:16" x14ac:dyDescent="0.3">
      <c r="A70" s="1" t="s">
        <v>60</v>
      </c>
      <c r="C70" s="16"/>
      <c r="D70" s="16"/>
      <c r="E70" s="16"/>
      <c r="G70" s="15" t="s">
        <v>62</v>
      </c>
      <c r="H70" s="16"/>
      <c r="I70" s="16"/>
      <c r="J70" s="16"/>
      <c r="K70" s="16"/>
      <c r="L70" s="20"/>
      <c r="M70" s="20"/>
    </row>
    <row r="71" spans="1:16" x14ac:dyDescent="0.3">
      <c r="C71" s="16"/>
      <c r="D71" s="16"/>
      <c r="E71" s="16"/>
      <c r="F71" s="16"/>
      <c r="H71" s="19">
        <v>0</v>
      </c>
      <c r="I71" s="19">
        <v>1</v>
      </c>
      <c r="J71" s="19">
        <v>2</v>
      </c>
      <c r="K71" s="19">
        <v>3</v>
      </c>
      <c r="L71" s="19">
        <v>4</v>
      </c>
      <c r="M71" s="19">
        <v>5</v>
      </c>
      <c r="N71" s="19">
        <v>6</v>
      </c>
      <c r="O71" s="19">
        <v>7</v>
      </c>
      <c r="P71" s="19">
        <v>8</v>
      </c>
    </row>
    <row r="72" spans="1:16" x14ac:dyDescent="0.3">
      <c r="A72" s="19" t="s">
        <v>46</v>
      </c>
      <c r="B72" s="3">
        <f t="array" ref="B72:B80">MMULT(TRANSPOSE(C54:K63),M54:M63)</f>
        <v>278.23498020901923</v>
      </c>
      <c r="C72" s="16"/>
      <c r="D72" s="16"/>
      <c r="E72" s="16"/>
      <c r="F72" s="16"/>
      <c r="G72" s="19">
        <v>0</v>
      </c>
      <c r="H72" s="3">
        <f t="array" ref="H72:P80">MINVERSE(H41:P49)</f>
        <v>6.7129944286677627E-3</v>
      </c>
      <c r="I72" s="3">
        <v>-5.5555555555555506E-3</v>
      </c>
      <c r="J72" s="3">
        <v>-5.682948598479929E-3</v>
      </c>
      <c r="K72" s="3">
        <v>-5.9788674445407797E-3</v>
      </c>
      <c r="L72" s="3">
        <v>-6.7129944286677635E-3</v>
      </c>
      <c r="M72" s="3">
        <v>-2.2222222222222209E-3</v>
      </c>
      <c r="N72" s="3">
        <v>-2.7875150744760577E-3</v>
      </c>
      <c r="O72" s="3">
        <v>-3.7548414705148078E-3</v>
      </c>
      <c r="P72" s="3">
        <v>-6.7129944286677627E-3</v>
      </c>
    </row>
    <row r="73" spans="1:16" x14ac:dyDescent="0.3">
      <c r="A73" s="19" t="s">
        <v>47</v>
      </c>
      <c r="B73" s="3">
        <v>22.777777777777811</v>
      </c>
      <c r="C73" s="16"/>
      <c r="D73" s="16"/>
      <c r="E73" s="16"/>
      <c r="F73" s="16"/>
      <c r="G73" s="19">
        <v>1</v>
      </c>
      <c r="H73" s="3">
        <v>-5.5555555555555506E-3</v>
      </c>
      <c r="I73" s="3">
        <v>1.0433604336043355E-2</v>
      </c>
      <c r="J73" s="3">
        <v>5.5555555555555506E-3</v>
      </c>
      <c r="K73" s="3">
        <v>5.5555555555555506E-3</v>
      </c>
      <c r="L73" s="3">
        <v>5.5555555555555523E-3</v>
      </c>
      <c r="M73" s="3">
        <v>-4.2181732839418817E-19</v>
      </c>
      <c r="N73" s="3">
        <v>-9.6260877505340378E-19</v>
      </c>
      <c r="O73" s="3">
        <v>-1.7305326293094901E-18</v>
      </c>
      <c r="P73" s="3">
        <v>5.5555555555555506E-3</v>
      </c>
    </row>
    <row r="74" spans="1:16" x14ac:dyDescent="0.3">
      <c r="A74" s="19" t="s">
        <v>48</v>
      </c>
      <c r="B74" s="3">
        <v>33.452618831365434</v>
      </c>
      <c r="G74" s="19">
        <v>2</v>
      </c>
      <c r="H74" s="3">
        <v>-5.6829485984799281E-3</v>
      </c>
      <c r="I74" s="3">
        <v>5.5555555555555514E-3</v>
      </c>
      <c r="J74" s="3">
        <v>1.063344364798488E-2</v>
      </c>
      <c r="K74" s="3">
        <v>5.6829485984799281E-3</v>
      </c>
      <c r="L74" s="3">
        <v>5.6829485984799298E-3</v>
      </c>
      <c r="M74" s="3">
        <v>-5.6785026081387573E-19</v>
      </c>
      <c r="N74" s="3">
        <v>-1.1593609491616628E-18</v>
      </c>
      <c r="O74" s="3">
        <v>2.7247956403269728E-3</v>
      </c>
      <c r="P74" s="3">
        <v>5.682948598479929E-3</v>
      </c>
    </row>
    <row r="75" spans="1:16" x14ac:dyDescent="0.3">
      <c r="A75" s="19" t="s">
        <v>49</v>
      </c>
      <c r="B75" s="3">
        <v>66.945838547621207</v>
      </c>
      <c r="G75" s="19">
        <v>3</v>
      </c>
      <c r="H75" s="3">
        <v>-5.978867444540778E-3</v>
      </c>
      <c r="I75" s="3">
        <v>5.5555555555555506E-3</v>
      </c>
      <c r="J75" s="3">
        <v>5.6829485984799281E-3</v>
      </c>
      <c r="K75" s="3">
        <v>1.138427284994618E-2</v>
      </c>
      <c r="L75" s="3">
        <v>5.9788674445407806E-3</v>
      </c>
      <c r="M75" s="3">
        <v>-7.7399476789142748E-19</v>
      </c>
      <c r="N75" s="3">
        <v>2.0533880903490743E-3</v>
      </c>
      <c r="O75" s="3">
        <v>3.0207144863878235E-3</v>
      </c>
      <c r="P75" s="3">
        <v>5.9788674445407789E-3</v>
      </c>
    </row>
    <row r="76" spans="1:16" x14ac:dyDescent="0.3">
      <c r="A76" s="19" t="s">
        <v>50</v>
      </c>
      <c r="B76" s="3">
        <v>155.05874505225478</v>
      </c>
      <c r="G76" s="19">
        <v>4</v>
      </c>
      <c r="H76" s="3">
        <v>-6.7129944286677627E-3</v>
      </c>
      <c r="I76" s="3">
        <v>5.5555555555555506E-3</v>
      </c>
      <c r="J76" s="3">
        <v>5.6829485984799281E-3</v>
      </c>
      <c r="K76" s="3">
        <v>5.9788674445407797E-3</v>
      </c>
      <c r="L76" s="3">
        <v>1.3379661095334434E-2</v>
      </c>
      <c r="M76" s="3">
        <v>2.2222222222222209E-3</v>
      </c>
      <c r="N76" s="3">
        <v>2.7875150744760581E-3</v>
      </c>
      <c r="O76" s="3">
        <v>3.7548414705148078E-3</v>
      </c>
      <c r="P76" s="3">
        <v>6.7129944286677627E-3</v>
      </c>
    </row>
    <row r="77" spans="1:16" x14ac:dyDescent="0.3">
      <c r="A77" s="19" t="s">
        <v>51</v>
      </c>
      <c r="B77" s="3">
        <v>73.999999999999972</v>
      </c>
      <c r="G77" s="19">
        <v>5</v>
      </c>
      <c r="H77" s="3">
        <v>-2.2222222222222214E-3</v>
      </c>
      <c r="I77" s="3">
        <v>6.5461444581032882E-20</v>
      </c>
      <c r="J77" s="3">
        <v>-4.3640963054021915E-20</v>
      </c>
      <c r="K77" s="3">
        <v>6.5461444581032882E-20</v>
      </c>
      <c r="L77" s="3">
        <v>2.2222222222222214E-3</v>
      </c>
      <c r="M77" s="3">
        <v>6.7267267267267263E-3</v>
      </c>
      <c r="N77" s="3">
        <v>2.2222222222222209E-3</v>
      </c>
      <c r="O77" s="3">
        <v>2.2222222222222214E-3</v>
      </c>
      <c r="P77" s="3">
        <v>2.2222222222222218E-3</v>
      </c>
    </row>
    <row r="78" spans="1:16" x14ac:dyDescent="0.3">
      <c r="A78" s="19" t="s">
        <v>52</v>
      </c>
      <c r="B78" s="3">
        <v>68.866529774127343</v>
      </c>
      <c r="G78" s="19">
        <v>6</v>
      </c>
      <c r="H78" s="3">
        <v>-2.7875150744760585E-3</v>
      </c>
      <c r="I78" s="3">
        <v>-1.2265946604512383E-18</v>
      </c>
      <c r="J78" s="3">
        <v>-1.328810882155508E-18</v>
      </c>
      <c r="K78" s="3">
        <v>2.0533880903490748E-3</v>
      </c>
      <c r="L78" s="3">
        <v>2.7875150744760585E-3</v>
      </c>
      <c r="M78" s="3">
        <v>2.2222222222222222E-3</v>
      </c>
      <c r="N78" s="3">
        <v>1.4982637025695564E-2</v>
      </c>
      <c r="O78" s="3">
        <v>2.7875150744760585E-3</v>
      </c>
      <c r="P78" s="3">
        <v>2.7875150744760581E-3</v>
      </c>
    </row>
    <row r="79" spans="1:16" x14ac:dyDescent="0.3">
      <c r="A79" s="19" t="s">
        <v>53</v>
      </c>
      <c r="B79" s="3">
        <v>33.344952413989894</v>
      </c>
      <c r="G79" s="19">
        <v>7</v>
      </c>
      <c r="H79" s="3">
        <v>-3.7548414705148073E-3</v>
      </c>
      <c r="I79" s="3">
        <v>-1.4856103516728E-18</v>
      </c>
      <c r="J79" s="3">
        <v>2.7247956403269732E-3</v>
      </c>
      <c r="K79" s="3">
        <v>3.020714486387824E-3</v>
      </c>
      <c r="L79" s="3">
        <v>3.7548414705148082E-3</v>
      </c>
      <c r="M79" s="3">
        <v>2.2222222222222214E-3</v>
      </c>
      <c r="N79" s="3">
        <v>2.787515074476059E-3</v>
      </c>
      <c r="O79" s="3">
        <v>5.9310397026070355E-2</v>
      </c>
      <c r="P79" s="3">
        <v>3.7548414705148073E-3</v>
      </c>
    </row>
    <row r="80" spans="1:16" x14ac:dyDescent="0.3">
      <c r="A80" s="19" t="s">
        <v>54</v>
      </c>
      <c r="B80" s="3">
        <v>102.02349802090203</v>
      </c>
      <c r="G80" s="19">
        <v>8</v>
      </c>
      <c r="H80" s="3">
        <v>-6.7129944286677635E-3</v>
      </c>
      <c r="I80" s="3">
        <v>5.5555555555555506E-3</v>
      </c>
      <c r="J80" s="3">
        <v>5.6829485984799298E-3</v>
      </c>
      <c r="K80" s="3">
        <v>5.9788674445407789E-3</v>
      </c>
      <c r="L80" s="3">
        <v>6.7129944286677644E-3</v>
      </c>
      <c r="M80" s="3">
        <v>2.2222222222222214E-3</v>
      </c>
      <c r="N80" s="3">
        <v>2.7875150744760585E-3</v>
      </c>
      <c r="O80" s="3">
        <v>3.7548414705148069E-3</v>
      </c>
      <c r="P80" s="3">
        <v>5.6712994428667701E-2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e_iteration">
                <anchor moveWithCells="1" sizeWithCells="1">
                  <from>
                    <xdr:col>20</xdr:col>
                    <xdr:colOff>15240</xdr:colOff>
                    <xdr:row>40</xdr:row>
                    <xdr:rowOff>15240</xdr:rowOff>
                  </from>
                  <to>
                    <xdr:col>21</xdr:col>
                    <xdr:colOff>167640</xdr:colOff>
                    <xdr:row>42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A)Poisson</vt:lpstr>
      <vt:lpstr>B)Poisson (chang ds CY =5)</vt:lpstr>
      <vt:lpstr>C)Gamma</vt:lpstr>
      <vt:lpstr>D) (A) Plus manuel</vt:lpstr>
    </vt:vector>
  </TitlesOfParts>
  <Company>CGIC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Frederick Guillot</dc:creator>
  <cp:lastModifiedBy>Frederick Guillot</cp:lastModifiedBy>
  <dcterms:created xsi:type="dcterms:W3CDTF">2015-03-31T02:10:24Z</dcterms:created>
  <dcterms:modified xsi:type="dcterms:W3CDTF">2015-04-20T02:51:57Z</dcterms:modified>
</cp:coreProperties>
</file>